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My idle game\my-idle-game\Assets\08.Excel\"/>
    </mc:Choice>
  </mc:AlternateContent>
  <xr:revisionPtr revIDLastSave="0" documentId="13_ncr:1_{7DCC0C5A-6F50-4387-808C-E98F58D57D1F}" xr6:coauthVersionLast="36" xr6:coauthVersionMax="36" xr10:uidLastSave="{00000000-0000-0000-0000-000000000000}"/>
  <bookViews>
    <workbookView xWindow="0" yWindow="0" windowWidth="23040" windowHeight="8856" activeTab="1" xr2:uid="{698F8AFA-8894-42B5-A618-49D138110CB8}"/>
  </bookViews>
  <sheets>
    <sheet name="ItemSheet" sheetId="1" r:id="rId1"/>
    <sheet name="DailyReward" sheetId="3" r:id="rId2"/>
    <sheet name="규칙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" i="3" l="1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" i="1"/>
  <c r="J15" i="1" l="1"/>
  <c r="J16" i="1"/>
  <c r="J17" i="1"/>
  <c r="J14" i="1"/>
  <c r="J11" i="1"/>
  <c r="J12" i="1"/>
  <c r="J13" i="1"/>
  <c r="J10" i="1"/>
  <c r="J7" i="1"/>
  <c r="J8" i="1"/>
  <c r="J9" i="1"/>
  <c r="J6" i="1"/>
  <c r="J3" i="1"/>
  <c r="J4" i="1"/>
  <c r="J5" i="1"/>
  <c r="J2" i="1"/>
  <c r="B15" i="1"/>
  <c r="B16" i="1"/>
  <c r="B17" i="1"/>
  <c r="B14" i="1"/>
  <c r="B11" i="1"/>
  <c r="B12" i="1"/>
  <c r="B13" i="1"/>
  <c r="B10" i="1"/>
  <c r="B7" i="1"/>
  <c r="B8" i="1"/>
  <c r="B9" i="1"/>
  <c r="B6" i="1"/>
  <c r="B3" i="1"/>
  <c r="B4" i="1"/>
  <c r="B5" i="1"/>
  <c r="B2" i="1"/>
  <c r="A15" i="1" l="1"/>
  <c r="A16" i="1"/>
  <c r="A17" i="1"/>
  <c r="A14" i="1"/>
  <c r="A11" i="1"/>
  <c r="A12" i="1"/>
  <c r="A13" i="1"/>
  <c r="A10" i="1"/>
  <c r="A7" i="1"/>
  <c r="A8" i="1"/>
  <c r="A9" i="1"/>
  <c r="A6" i="1"/>
  <c r="A3" i="1"/>
  <c r="A4" i="1"/>
  <c r="A5" i="1"/>
  <c r="M2" i="2"/>
  <c r="M3" i="2"/>
</calcChain>
</file>

<file path=xl/sharedStrings.xml><?xml version="1.0" encoding="utf-8"?>
<sst xmlns="http://schemas.openxmlformats.org/spreadsheetml/2006/main" count="111" uniqueCount="74">
  <si>
    <t>Id</t>
    <phoneticPr fontId="1" type="noConversion"/>
  </si>
  <si>
    <t>Type</t>
    <phoneticPr fontId="1" type="noConversion"/>
  </si>
  <si>
    <t>Hp</t>
    <phoneticPr fontId="1" type="noConversion"/>
  </si>
  <si>
    <t>Atk</t>
    <phoneticPr fontId="1" type="noConversion"/>
  </si>
  <si>
    <t>Def</t>
    <phoneticPr fontId="1" type="noConversion"/>
  </si>
  <si>
    <t>Cri</t>
    <phoneticPr fontId="1" type="noConversion"/>
  </si>
  <si>
    <t>Enhanced</t>
    <phoneticPr fontId="1" type="noConversion"/>
  </si>
  <si>
    <t>Price</t>
    <phoneticPr fontId="1" type="noConversion"/>
  </si>
  <si>
    <t>Grade</t>
    <phoneticPr fontId="1" type="noConversion"/>
  </si>
  <si>
    <t>UpgradeType</t>
    <phoneticPr fontId="1" type="noConversion"/>
  </si>
  <si>
    <t>Icon</t>
    <phoneticPr fontId="1" type="noConversion"/>
  </si>
  <si>
    <t>첫번째 규칙</t>
    <phoneticPr fontId="1" type="noConversion"/>
  </si>
  <si>
    <t>아이템</t>
    <phoneticPr fontId="1" type="noConversion"/>
  </si>
  <si>
    <t>두번째규칙(등급)</t>
    <phoneticPr fontId="1" type="noConversion"/>
  </si>
  <si>
    <t>1등급</t>
    <phoneticPr fontId="1" type="noConversion"/>
  </si>
  <si>
    <t>0등급</t>
    <phoneticPr fontId="1" type="noConversion"/>
  </si>
  <si>
    <t>2등급</t>
    <phoneticPr fontId="1" type="noConversion"/>
  </si>
  <si>
    <t>3등급</t>
    <phoneticPr fontId="1" type="noConversion"/>
  </si>
  <si>
    <t>세번째 규칙(몇번째)</t>
    <phoneticPr fontId="1" type="noConversion"/>
  </si>
  <si>
    <t>첫번째 아이템</t>
    <phoneticPr fontId="1" type="noConversion"/>
  </si>
  <si>
    <t>두번째 아이템</t>
    <phoneticPr fontId="1" type="noConversion"/>
  </si>
  <si>
    <t>세번째 아이템</t>
    <phoneticPr fontId="1" type="noConversion"/>
  </si>
  <si>
    <t>네번째 아이템</t>
    <phoneticPr fontId="1" type="noConversion"/>
  </si>
  <si>
    <t>1등급 첫번째 아이템</t>
    <phoneticPr fontId="1" type="noConversion"/>
  </si>
  <si>
    <t>0등급 네번째 아이템</t>
    <phoneticPr fontId="1" type="noConversion"/>
  </si>
  <si>
    <t>ItemType</t>
  </si>
  <si>
    <t>enum</t>
    <phoneticPr fontId="1" type="noConversion"/>
  </si>
  <si>
    <t>Helmet</t>
    <phoneticPr fontId="1" type="noConversion"/>
  </si>
  <si>
    <t>Weapon</t>
  </si>
  <si>
    <t>Shield</t>
    <phoneticPr fontId="1" type="noConversion"/>
  </si>
  <si>
    <t>Ring</t>
  </si>
  <si>
    <t>ItemEnhanceCostType</t>
  </si>
  <si>
    <t>None</t>
  </si>
  <si>
    <t>Gold</t>
  </si>
  <si>
    <t>Stone</t>
  </si>
  <si>
    <t>강화불가</t>
    <phoneticPr fontId="1" type="noConversion"/>
  </si>
  <si>
    <t>골드</t>
    <phoneticPr fontId="1" type="noConversion"/>
  </si>
  <si>
    <t>강화석</t>
    <phoneticPr fontId="1" type="noConversion"/>
  </si>
  <si>
    <t>강화시 증가하는 능력</t>
    <phoneticPr fontId="1" type="noConversion"/>
  </si>
  <si>
    <t>강화 방식</t>
    <phoneticPr fontId="1" type="noConversion"/>
  </si>
  <si>
    <t>반지(Cri)</t>
    <phoneticPr fontId="1" type="noConversion"/>
  </si>
  <si>
    <t>방어구(Def)</t>
    <phoneticPr fontId="1" type="noConversion"/>
  </si>
  <si>
    <t>무기(Atk)</t>
    <phoneticPr fontId="1" type="noConversion"/>
  </si>
  <si>
    <t>헬멧(Hp)</t>
    <phoneticPr fontId="1" type="noConversion"/>
  </si>
  <si>
    <t>Ex.</t>
    <phoneticPr fontId="1" type="noConversion"/>
  </si>
  <si>
    <t>Assets/00.Externals/Myaddressable/item/itemSheet0.png[itemSheet0_0]</t>
  </si>
  <si>
    <t>Assets/00.Externals/Myaddressable/item/itemSheet0.png[itemSheet0_1]</t>
  </si>
  <si>
    <t>Assets/00.Externals/Myaddressable/item/itemSheet0.png[itemSheet0_2]</t>
  </si>
  <si>
    <t>Assets/00.Externals/Myaddressable/item/itemSheet0.png[itemSheet0_3]</t>
    <phoneticPr fontId="1" type="noConversion"/>
  </si>
  <si>
    <t>Assets/00.Externals/Myaddressable/item/itemSheet1.png[itemSheet1_0]</t>
    <phoneticPr fontId="1" type="noConversion"/>
  </si>
  <si>
    <t>Assets/00.Externals/Myaddressable/item/itemSheet1.png[itemSheet1_1]</t>
    <phoneticPr fontId="1" type="noConversion"/>
  </si>
  <si>
    <t>Assets/00.Externals/Myaddressable/item/itemSheet1.png[itemSheet1_2]</t>
    <phoneticPr fontId="1" type="noConversion"/>
  </si>
  <si>
    <t>Assets/00.Externals/Myaddressable/item/itemSheet1.png[itemSheet1_3]</t>
    <phoneticPr fontId="1" type="noConversion"/>
  </si>
  <si>
    <t>Assets/00.Externals/Myaddressable/item/itemSheet2.png[itemSheet2_0]</t>
    <phoneticPr fontId="1" type="noConversion"/>
  </si>
  <si>
    <t>Assets/00.Externals/Myaddressable/item/itemSheet2.png[itemSheet2_1]</t>
    <phoneticPr fontId="1" type="noConversion"/>
  </si>
  <si>
    <t>Assets/00.Externals/Myaddressable/item/itemSheet2.png[itemSheet2_2]</t>
    <phoneticPr fontId="1" type="noConversion"/>
  </si>
  <si>
    <t>Assets/00.Externals/Myaddressable/item/itemSheet2.png[itemSheet2_3]</t>
    <phoneticPr fontId="1" type="noConversion"/>
  </si>
  <si>
    <t>Assets/00.Externals/Myaddressable/item/itemSheet3.png[itemSheet3_0]</t>
    <phoneticPr fontId="1" type="noConversion"/>
  </si>
  <si>
    <t>Assets/00.Externals/Myaddressable/item/itemSheet3.png[itemSheet3_1]</t>
    <phoneticPr fontId="1" type="noConversion"/>
  </si>
  <si>
    <t>Assets/00.Externals/Myaddressable/item/itemSheet3.png[itemSheet3_2]</t>
    <phoneticPr fontId="1" type="noConversion"/>
  </si>
  <si>
    <t>Assets/00.Externals/Myaddressable/item/itemSheet3.png[itemSheet3_3]</t>
    <phoneticPr fontId="1" type="noConversion"/>
  </si>
  <si>
    <t>출석 보상</t>
    <phoneticPr fontId="1" type="noConversion"/>
  </si>
  <si>
    <t>아이템</t>
    <phoneticPr fontId="1" type="noConversion"/>
  </si>
  <si>
    <t>세번째규칙</t>
    <phoneticPr fontId="1" type="noConversion"/>
  </si>
  <si>
    <t>Ex.</t>
    <phoneticPr fontId="1" type="noConversion"/>
  </si>
  <si>
    <t>Amount</t>
    <phoneticPr fontId="1" type="noConversion"/>
  </si>
  <si>
    <t>두번째규칙(일별)</t>
    <phoneticPr fontId="1" type="noConversion"/>
  </si>
  <si>
    <t>1일 보상</t>
    <phoneticPr fontId="1" type="noConversion"/>
  </si>
  <si>
    <t>31일 보상</t>
    <phoneticPr fontId="1" type="noConversion"/>
  </si>
  <si>
    <t>골드</t>
    <phoneticPr fontId="1" type="noConversion"/>
  </si>
  <si>
    <t>랜덤 아이템</t>
    <phoneticPr fontId="1" type="noConversion"/>
  </si>
  <si>
    <t>강화석</t>
    <phoneticPr fontId="1" type="noConversion"/>
  </si>
  <si>
    <t>~</t>
    <phoneticPr fontId="1" type="noConversion"/>
  </si>
  <si>
    <t>Assets/00.Externals/Myaddressable/G_coin.png[G_coin]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</si>
</sst>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"/>
    <numFmt numFmtId="177" formatCode="00000000"/>
    <numFmt numFmtId="178" formatCode="#,##0_);\(#,##0\)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sz val="11"/>
      <color rgb="FF002060"/>
      <name val="맑은 고딕"/>
      <family val="2"/>
      <charset val="129"/>
      <scheme val="minor"/>
    </font>
    <font>
      <sz val="11"/>
      <color theme="1" tint="4.9989318521683403E-2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rgb="FFF5F51B"/>
      <name val="맑은 고딕"/>
      <family val="2"/>
      <charset val="129"/>
      <scheme val="minor"/>
    </font>
    <font>
      <sz val="11"/>
      <color rgb="FFF5F51B"/>
      <name val="맑은 고딕"/>
      <family val="3"/>
      <charset val="129"/>
      <scheme val="minor"/>
    </font>
    <font>
      <sz val="11"/>
      <color theme="0" tint="-4.9989318521683403E-2"/>
      <name val="맑은 고딕"/>
      <family val="2"/>
      <charset val="129"/>
      <scheme val="minor"/>
    </font>
    <font>
      <sz val="11"/>
      <color theme="1" tint="0.14999847407452621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4" fillId="4" borderId="18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7" xfId="0" applyFont="1" applyFill="1" applyBorder="1">
      <alignment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4" xfId="0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4" xfId="0" applyFont="1" applyFill="1" applyBorder="1">
      <alignment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4" xfId="0" applyFont="1" applyFill="1" applyBorder="1">
      <alignment vertical="center"/>
    </xf>
    <xf numFmtId="0" fontId="6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7" xfId="0" applyFont="1" applyFill="1" applyBorder="1">
      <alignment vertical="center"/>
    </xf>
    <xf numFmtId="178" fontId="0" fillId="0" borderId="13" xfId="0" applyNumberFormat="1" applyBorder="1" applyAlignment="1">
      <alignment horizontal="center" vertical="center"/>
    </xf>
    <xf numFmtId="178" fontId="6" fillId="5" borderId="16" xfId="0" applyNumberFormat="1" applyFont="1" applyFill="1" applyBorder="1" applyAlignment="1">
      <alignment horizontal="center" vertical="center"/>
    </xf>
    <xf numFmtId="178" fontId="6" fillId="5" borderId="19" xfId="0" applyNumberFormat="1" applyFont="1" applyFill="1" applyBorder="1" applyAlignment="1">
      <alignment horizontal="center" vertical="center"/>
    </xf>
    <xf numFmtId="178" fontId="5" fillId="7" borderId="16" xfId="0" applyNumberFormat="1" applyFont="1" applyFill="1" applyBorder="1" applyAlignment="1">
      <alignment horizontal="center" vertical="center"/>
    </xf>
    <xf numFmtId="178" fontId="4" fillId="4" borderId="19" xfId="0" applyNumberFormat="1" applyFont="1" applyFill="1" applyBorder="1" applyAlignment="1">
      <alignment horizontal="center" vertical="center"/>
    </xf>
    <xf numFmtId="178" fontId="4" fillId="4" borderId="16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178" fontId="7" fillId="6" borderId="16" xfId="0" applyNumberFormat="1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center" vertical="center"/>
    </xf>
    <xf numFmtId="0" fontId="8" fillId="6" borderId="14" xfId="0" applyFont="1" applyFill="1" applyBorder="1">
      <alignment vertical="center"/>
    </xf>
    <xf numFmtId="0" fontId="0" fillId="0" borderId="4" xfId="0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FFFF"/>
      <color rgb="FF9999FF"/>
      <color rgb="FFF5F51B"/>
      <color rgb="FFFFF8A3"/>
      <color rgb="FF9966FF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B276-9A8E-4EAC-977B-709B2D06B097}">
  <dimension ref="A1:K17"/>
  <sheetViews>
    <sheetView topLeftCell="D1" workbookViewId="0">
      <pane ySplit="1" topLeftCell="A2" activePane="bottomLeft" state="frozen"/>
      <selection pane="bottomLeft" activeCell="H1" sqref="H1:H1048576"/>
    </sheetView>
  </sheetViews>
  <sheetFormatPr defaultRowHeight="17.399999999999999" x14ac:dyDescent="0.4"/>
  <cols>
    <col min="1" max="1" width="16.69921875" style="25" customWidth="1"/>
    <col min="2" max="7" width="16.69921875" style="26" customWidth="1"/>
    <col min="8" max="8" width="16.69921875" style="46" customWidth="1"/>
    <col min="9" max="10" width="16.69921875" style="26" customWidth="1"/>
    <col min="11" max="11" width="61.296875" style="1" customWidth="1"/>
  </cols>
  <sheetData>
    <row r="1" spans="1:11" s="27" customFormat="1" x14ac:dyDescent="0.4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46" t="s">
        <v>7</v>
      </c>
      <c r="I1" s="26" t="s">
        <v>8</v>
      </c>
      <c r="J1" s="26" t="s">
        <v>9</v>
      </c>
      <c r="K1" s="6" t="s">
        <v>10</v>
      </c>
    </row>
    <row r="2" spans="1:11" s="42" customFormat="1" x14ac:dyDescent="0.4">
      <c r="A2" s="39" t="str">
        <f>TEXT(규칙!$B$3,"000")&amp;TEXT(규칙!$E$3,"000")&amp;TEXT(규칙!H3,"000")</f>
        <v>101000001</v>
      </c>
      <c r="B2" s="40" t="str">
        <f>규칙!B8</f>
        <v>Helmet</v>
      </c>
      <c r="C2" s="40">
        <v>500</v>
      </c>
      <c r="D2" s="40">
        <v>0</v>
      </c>
      <c r="E2" s="40">
        <v>0</v>
      </c>
      <c r="F2" s="40">
        <v>0</v>
      </c>
      <c r="G2" s="40">
        <v>0</v>
      </c>
      <c r="H2" s="47">
        <v>500</v>
      </c>
      <c r="I2" s="40">
        <v>0</v>
      </c>
      <c r="J2" s="40" t="str">
        <f>규칙!$B$14</f>
        <v>Gold</v>
      </c>
      <c r="K2" s="41" t="s">
        <v>45</v>
      </c>
    </row>
    <row r="3" spans="1:11" s="45" customFormat="1" x14ac:dyDescent="0.4">
      <c r="A3" s="43" t="str">
        <f>TEXT(규칙!$B$3,"000")&amp;TEXT(규칙!$E$3,"000")&amp;TEXT(규칙!H4,"000")</f>
        <v>101000002</v>
      </c>
      <c r="B3" s="44" t="str">
        <f>규칙!B9</f>
        <v>Weapon</v>
      </c>
      <c r="C3" s="44">
        <v>0</v>
      </c>
      <c r="D3" s="44">
        <v>5</v>
      </c>
      <c r="E3" s="44">
        <v>0</v>
      </c>
      <c r="F3" s="44">
        <v>0</v>
      </c>
      <c r="G3" s="44">
        <v>0</v>
      </c>
      <c r="H3" s="48">
        <v>1000</v>
      </c>
      <c r="I3" s="44">
        <v>0</v>
      </c>
      <c r="J3" s="44" t="str">
        <f>규칙!$B$14</f>
        <v>Gold</v>
      </c>
      <c r="K3" s="41" t="s">
        <v>46</v>
      </c>
    </row>
    <row r="4" spans="1:11" s="45" customFormat="1" x14ac:dyDescent="0.4">
      <c r="A4" s="43" t="str">
        <f>TEXT(규칙!$B$3,"000")&amp;TEXT(규칙!$E$3,"000")&amp;TEXT(규칙!H5,"000")</f>
        <v>101000003</v>
      </c>
      <c r="B4" s="44" t="str">
        <f>규칙!B10</f>
        <v>Shield</v>
      </c>
      <c r="C4" s="44">
        <v>0</v>
      </c>
      <c r="D4" s="44">
        <v>0</v>
      </c>
      <c r="E4" s="44">
        <v>2</v>
      </c>
      <c r="F4" s="44">
        <v>0</v>
      </c>
      <c r="G4" s="44">
        <v>0</v>
      </c>
      <c r="H4" s="48">
        <v>800</v>
      </c>
      <c r="I4" s="44">
        <v>0</v>
      </c>
      <c r="J4" s="44" t="str">
        <f>규칙!$B$14</f>
        <v>Gold</v>
      </c>
      <c r="K4" s="41" t="s">
        <v>47</v>
      </c>
    </row>
    <row r="5" spans="1:11" s="45" customFormat="1" x14ac:dyDescent="0.4">
      <c r="A5" s="43" t="str">
        <f>TEXT(규칙!$B$3,"000")&amp;TEXT(규칙!$E$3,"000")&amp;TEXT(규칙!H6,"000")</f>
        <v>101000004</v>
      </c>
      <c r="B5" s="44" t="str">
        <f>규칙!B11</f>
        <v>Ring</v>
      </c>
      <c r="C5" s="44">
        <v>0</v>
      </c>
      <c r="D5" s="44">
        <v>0</v>
      </c>
      <c r="E5" s="44">
        <v>0</v>
      </c>
      <c r="F5" s="44">
        <v>5</v>
      </c>
      <c r="G5" s="44">
        <v>0</v>
      </c>
      <c r="H5" s="48">
        <v>1200</v>
      </c>
      <c r="I5" s="44">
        <v>0</v>
      </c>
      <c r="J5" s="44" t="str">
        <f>규칙!$B$14</f>
        <v>Gold</v>
      </c>
      <c r="K5" s="41" t="s">
        <v>48</v>
      </c>
    </row>
    <row r="6" spans="1:11" s="38" customFormat="1" x14ac:dyDescent="0.4">
      <c r="A6" s="35" t="str">
        <f>TEXT(규칙!$B$3,"000")&amp;TEXT(규칙!$E$4,"000")&amp;TEXT(규칙!H3,"000")</f>
        <v>101001001</v>
      </c>
      <c r="B6" s="36" t="str">
        <f>규칙!B8</f>
        <v>Helmet</v>
      </c>
      <c r="C6" s="36">
        <v>3500</v>
      </c>
      <c r="D6" s="36">
        <v>0</v>
      </c>
      <c r="E6" s="36">
        <v>0</v>
      </c>
      <c r="F6" s="36">
        <v>0</v>
      </c>
      <c r="G6" s="36">
        <v>0</v>
      </c>
      <c r="H6" s="49">
        <v>3500</v>
      </c>
      <c r="I6" s="36">
        <v>1</v>
      </c>
      <c r="J6" s="36" t="str">
        <f>규칙!$B$13</f>
        <v>None</v>
      </c>
      <c r="K6" s="37" t="s">
        <v>49</v>
      </c>
    </row>
    <row r="7" spans="1:11" s="38" customFormat="1" x14ac:dyDescent="0.4">
      <c r="A7" s="35" t="str">
        <f>TEXT(규칙!$B$3,"000")&amp;TEXT(규칙!$E$4,"000")&amp;TEXT(규칙!H4,"000")</f>
        <v>101001002</v>
      </c>
      <c r="B7" s="36" t="str">
        <f>규칙!B9</f>
        <v>Weapon</v>
      </c>
      <c r="C7" s="36">
        <v>0</v>
      </c>
      <c r="D7" s="36">
        <v>30</v>
      </c>
      <c r="E7" s="36">
        <v>0</v>
      </c>
      <c r="F7" s="36">
        <v>0</v>
      </c>
      <c r="G7" s="36">
        <v>0</v>
      </c>
      <c r="H7" s="49">
        <v>5000</v>
      </c>
      <c r="I7" s="36">
        <v>1</v>
      </c>
      <c r="J7" s="36" t="str">
        <f>규칙!$B$13</f>
        <v>None</v>
      </c>
      <c r="K7" s="37" t="s">
        <v>50</v>
      </c>
    </row>
    <row r="8" spans="1:11" s="38" customFormat="1" x14ac:dyDescent="0.4">
      <c r="A8" s="35" t="str">
        <f>TEXT(규칙!$B$3,"000")&amp;TEXT(규칙!$E$4,"000")&amp;TEXT(규칙!H5,"000")</f>
        <v>101001003</v>
      </c>
      <c r="B8" s="36" t="str">
        <f>규칙!B10</f>
        <v>Shield</v>
      </c>
      <c r="C8" s="36">
        <v>0</v>
      </c>
      <c r="D8" s="36">
        <v>0</v>
      </c>
      <c r="E8" s="36">
        <v>12</v>
      </c>
      <c r="F8" s="36">
        <v>0</v>
      </c>
      <c r="G8" s="36">
        <v>0</v>
      </c>
      <c r="H8" s="49">
        <v>4500</v>
      </c>
      <c r="I8" s="36">
        <v>1</v>
      </c>
      <c r="J8" s="36" t="str">
        <f>규칙!$B$13</f>
        <v>None</v>
      </c>
      <c r="K8" s="37" t="s">
        <v>51</v>
      </c>
    </row>
    <row r="9" spans="1:11" s="38" customFormat="1" x14ac:dyDescent="0.4">
      <c r="A9" s="35" t="str">
        <f>TEXT(규칙!$B$3,"000")&amp;TEXT(규칙!$E$4,"000")&amp;TEXT(규칙!H6,"000")</f>
        <v>101001004</v>
      </c>
      <c r="B9" s="36" t="str">
        <f>규칙!B11</f>
        <v>Ring</v>
      </c>
      <c r="C9" s="36">
        <v>0</v>
      </c>
      <c r="D9" s="36">
        <v>0</v>
      </c>
      <c r="E9" s="36">
        <v>0</v>
      </c>
      <c r="F9" s="36">
        <v>36</v>
      </c>
      <c r="G9" s="36">
        <v>0</v>
      </c>
      <c r="H9" s="49">
        <v>6000</v>
      </c>
      <c r="I9" s="36">
        <v>1</v>
      </c>
      <c r="J9" s="36" t="str">
        <f>규칙!$B$13</f>
        <v>None</v>
      </c>
      <c r="K9" s="37" t="s">
        <v>52</v>
      </c>
    </row>
    <row r="10" spans="1:11" s="31" customFormat="1" x14ac:dyDescent="0.4">
      <c r="A10" s="28" t="str">
        <f>TEXT(규칙!$B$3,"000")&amp;TEXT(규칙!$E$5,"000")&amp;TEXT(규칙!H3,"000")</f>
        <v>101002001</v>
      </c>
      <c r="B10" s="29" t="str">
        <f>규칙!B8</f>
        <v>Helmet</v>
      </c>
      <c r="C10" s="29">
        <v>5000</v>
      </c>
      <c r="D10" s="29">
        <v>0</v>
      </c>
      <c r="E10" s="29">
        <v>0</v>
      </c>
      <c r="F10" s="29">
        <v>0</v>
      </c>
      <c r="G10" s="29">
        <v>0</v>
      </c>
      <c r="H10" s="50">
        <v>4400</v>
      </c>
      <c r="I10" s="29">
        <v>2</v>
      </c>
      <c r="J10" s="29" t="str">
        <f>규칙!$B$14</f>
        <v>Gold</v>
      </c>
      <c r="K10" s="30" t="s">
        <v>53</v>
      </c>
    </row>
    <row r="11" spans="1:11" s="34" customFormat="1" x14ac:dyDescent="0.4">
      <c r="A11" s="32" t="str">
        <f>TEXT(규칙!$B$3,"000")&amp;TEXT(규칙!$E$5,"000")&amp;TEXT(규칙!H4,"000")</f>
        <v>101002002</v>
      </c>
      <c r="B11" s="33" t="str">
        <f>규칙!B9</f>
        <v>Weapon</v>
      </c>
      <c r="C11" s="33">
        <v>0</v>
      </c>
      <c r="D11" s="33">
        <v>32</v>
      </c>
      <c r="E11" s="33">
        <v>0</v>
      </c>
      <c r="F11" s="33">
        <v>0</v>
      </c>
      <c r="G11" s="33">
        <v>0</v>
      </c>
      <c r="H11" s="51">
        <v>5500</v>
      </c>
      <c r="I11" s="33">
        <v>2</v>
      </c>
      <c r="J11" s="33" t="str">
        <f>규칙!$B$14</f>
        <v>Gold</v>
      </c>
      <c r="K11" s="30" t="s">
        <v>54</v>
      </c>
    </row>
    <row r="12" spans="1:11" s="34" customFormat="1" x14ac:dyDescent="0.4">
      <c r="A12" s="32" t="str">
        <f>TEXT(규칙!$B$3,"000")&amp;TEXT(규칙!$E$5,"000")&amp;TEXT(규칙!H5,"000")</f>
        <v>101002003</v>
      </c>
      <c r="B12" s="33" t="str">
        <f>규칙!B10</f>
        <v>Shield</v>
      </c>
      <c r="C12" s="33">
        <v>0</v>
      </c>
      <c r="D12" s="33">
        <v>0</v>
      </c>
      <c r="E12" s="33">
        <v>20</v>
      </c>
      <c r="F12" s="33">
        <v>0</v>
      </c>
      <c r="G12" s="33">
        <v>0</v>
      </c>
      <c r="H12" s="51">
        <v>4800</v>
      </c>
      <c r="I12" s="33">
        <v>2</v>
      </c>
      <c r="J12" s="33" t="str">
        <f>규칙!$B$14</f>
        <v>Gold</v>
      </c>
      <c r="K12" s="30" t="s">
        <v>55</v>
      </c>
    </row>
    <row r="13" spans="1:11" s="34" customFormat="1" x14ac:dyDescent="0.4">
      <c r="A13" s="32" t="str">
        <f>TEXT(규칙!$B$3,"000")&amp;TEXT(규칙!$E$5,"000")&amp;TEXT(규칙!H6,"000")</f>
        <v>101002004</v>
      </c>
      <c r="B13" s="33" t="str">
        <f>규칙!B11</f>
        <v>Ring</v>
      </c>
      <c r="C13" s="33">
        <v>0</v>
      </c>
      <c r="D13" s="33">
        <v>0</v>
      </c>
      <c r="E13" s="33">
        <v>0</v>
      </c>
      <c r="F13" s="33">
        <v>50</v>
      </c>
      <c r="G13" s="33">
        <v>0</v>
      </c>
      <c r="H13" s="51">
        <v>6500</v>
      </c>
      <c r="I13" s="33">
        <v>2</v>
      </c>
      <c r="J13" s="33" t="str">
        <f>규칙!$B$14</f>
        <v>Gold</v>
      </c>
      <c r="K13" s="30" t="s">
        <v>56</v>
      </c>
    </row>
    <row r="14" spans="1:11" s="56" customFormat="1" x14ac:dyDescent="0.4">
      <c r="A14" s="52" t="str">
        <f>TEXT(규칙!$B$3,"000")&amp;TEXT(규칙!$E$6,"000")&amp;TEXT(규칙!H3,"000")</f>
        <v>101003001</v>
      </c>
      <c r="B14" s="53" t="str">
        <f>규칙!B8</f>
        <v>Helmet</v>
      </c>
      <c r="C14" s="53">
        <v>8000</v>
      </c>
      <c r="D14" s="53">
        <v>0</v>
      </c>
      <c r="E14" s="53">
        <v>0</v>
      </c>
      <c r="F14" s="53">
        <v>0</v>
      </c>
      <c r="G14" s="53">
        <v>0</v>
      </c>
      <c r="H14" s="54">
        <v>10000</v>
      </c>
      <c r="I14" s="53">
        <v>3</v>
      </c>
      <c r="J14" s="53" t="str">
        <f>규칙!$B$15</f>
        <v>Stone</v>
      </c>
      <c r="K14" s="55" t="s">
        <v>57</v>
      </c>
    </row>
    <row r="15" spans="1:11" s="56" customFormat="1" x14ac:dyDescent="0.4">
      <c r="A15" s="52" t="str">
        <f>TEXT(규칙!$B$3,"000")&amp;TEXT(규칙!$E$6,"000")&amp;TEXT(규칙!H4,"000")</f>
        <v>101003002</v>
      </c>
      <c r="B15" s="53" t="str">
        <f>규칙!B9</f>
        <v>Weapon</v>
      </c>
      <c r="C15" s="53">
        <v>0</v>
      </c>
      <c r="D15" s="53">
        <v>100</v>
      </c>
      <c r="E15" s="53">
        <v>0</v>
      </c>
      <c r="F15" s="53">
        <v>0</v>
      </c>
      <c r="G15" s="53">
        <v>0</v>
      </c>
      <c r="H15" s="54">
        <v>15000</v>
      </c>
      <c r="I15" s="53">
        <v>3</v>
      </c>
      <c r="J15" s="53" t="str">
        <f>규칙!$B$15</f>
        <v>Stone</v>
      </c>
      <c r="K15" s="55" t="s">
        <v>58</v>
      </c>
    </row>
    <row r="16" spans="1:11" s="56" customFormat="1" x14ac:dyDescent="0.4">
      <c r="A16" s="52" t="str">
        <f>TEXT(규칙!$B$3,"000")&amp;TEXT(규칙!$E$6,"000")&amp;TEXT(규칙!H5,"000")</f>
        <v>101003003</v>
      </c>
      <c r="B16" s="53" t="str">
        <f>규칙!B10</f>
        <v>Shield</v>
      </c>
      <c r="C16" s="53">
        <v>0</v>
      </c>
      <c r="D16" s="53">
        <v>0</v>
      </c>
      <c r="E16" s="53">
        <v>45</v>
      </c>
      <c r="F16" s="53">
        <v>0</v>
      </c>
      <c r="G16" s="53">
        <v>0</v>
      </c>
      <c r="H16" s="54">
        <v>12000</v>
      </c>
      <c r="I16" s="53">
        <v>3</v>
      </c>
      <c r="J16" s="53" t="str">
        <f>규칙!$B$15</f>
        <v>Stone</v>
      </c>
      <c r="K16" s="55" t="s">
        <v>59</v>
      </c>
    </row>
    <row r="17" spans="1:11" s="56" customFormat="1" x14ac:dyDescent="0.4">
      <c r="A17" s="52" t="str">
        <f>TEXT(규칙!$B$3,"000")&amp;TEXT(규칙!$E$6,"000")&amp;TEXT(규칙!H6,"000")</f>
        <v>101003004</v>
      </c>
      <c r="B17" s="53" t="str">
        <f>규칙!B11</f>
        <v>Ring</v>
      </c>
      <c r="C17" s="53">
        <v>0</v>
      </c>
      <c r="D17" s="53">
        <v>0</v>
      </c>
      <c r="E17" s="53">
        <v>0</v>
      </c>
      <c r="F17" s="53">
        <v>80</v>
      </c>
      <c r="G17" s="53">
        <v>0</v>
      </c>
      <c r="H17" s="54">
        <v>18000</v>
      </c>
      <c r="I17" s="53">
        <v>3</v>
      </c>
      <c r="J17" s="53" t="str">
        <f>규칙!$B$15</f>
        <v>Stone</v>
      </c>
      <c r="K17" s="55" t="s">
        <v>60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0A81C-159E-4364-9F32-5B6CE67F4D04}">
  <dimension ref="A1:K32"/>
  <sheetViews>
    <sheetView tabSelected="1" topLeftCell="A19" workbookViewId="0">
      <selection activeCell="B7" sqref="B7"/>
    </sheetView>
  </sheetViews>
  <sheetFormatPr defaultRowHeight="17.399999999999999" x14ac:dyDescent="0.4"/>
  <cols>
    <col min="1" max="1" width="16.69921875" style="1" customWidth="1"/>
    <col min="2" max="2" width="61.296875" style="1" customWidth="1"/>
    <col min="3" max="3" width="16.69921875" style="62" customWidth="1"/>
    <col min="4" max="11" width="16.69921875" style="1" customWidth="1"/>
  </cols>
  <sheetData>
    <row r="1" spans="1:3" x14ac:dyDescent="0.4">
      <c r="A1" s="1" t="s">
        <v>0</v>
      </c>
      <c r="B1" s="1" t="s">
        <v>10</v>
      </c>
      <c r="C1" s="62" t="s">
        <v>65</v>
      </c>
    </row>
    <row r="2" spans="1:3" x14ac:dyDescent="0.4">
      <c r="A2" s="1" t="str">
        <f>TEXT(규칙!$B$4,"000")&amp;"001"&amp;TEXT(규칙!$H$9,"000")</f>
        <v>201001001</v>
      </c>
      <c r="B2" s="1" t="s">
        <v>73</v>
      </c>
      <c r="C2" s="62">
        <v>10000</v>
      </c>
    </row>
    <row r="3" spans="1:3" x14ac:dyDescent="0.4">
      <c r="A3" s="1" t="str">
        <f>TEXT(규칙!$B$4,"000")&amp;"002"&amp;TEXT(규칙!$H$9,"000")</f>
        <v>201002001</v>
      </c>
      <c r="B3" s="64" t="s">
        <v>73</v>
      </c>
      <c r="C3" s="62">
        <v>10000</v>
      </c>
    </row>
    <row r="4" spans="1:3" x14ac:dyDescent="0.4">
      <c r="A4" s="1" t="str">
        <f>TEXT(규칙!$B$4,"000")&amp;"003"&amp;TEXT(규칙!$H$9,"000")</f>
        <v>201003001</v>
      </c>
      <c r="B4" s="64" t="s">
        <v>73</v>
      </c>
      <c r="C4" s="62">
        <v>15000</v>
      </c>
    </row>
    <row r="5" spans="1:3" x14ac:dyDescent="0.4">
      <c r="A5" s="1" t="str">
        <f>TEXT(규칙!$B$4,"000")&amp;"004"&amp;TEXT(규칙!$H$9,"000")</f>
        <v>201004001</v>
      </c>
      <c r="B5" s="64" t="s">
        <v>73</v>
      </c>
      <c r="C5" s="62">
        <v>20000</v>
      </c>
    </row>
    <row r="6" spans="1:3" x14ac:dyDescent="0.4">
      <c r="A6" s="1" t="str">
        <f>TEXT(규칙!$B$4,"000")&amp;"005"&amp;TEXT(규칙!$H$9,"000")</f>
        <v>201005001</v>
      </c>
      <c r="B6" s="64" t="s">
        <v>73</v>
      </c>
      <c r="C6" s="62">
        <v>5000</v>
      </c>
    </row>
    <row r="7" spans="1:3" x14ac:dyDescent="0.4">
      <c r="A7" s="1" t="str">
        <f>TEXT(규칙!$B$4,"000")&amp;"006"&amp;TEXT(규칙!$H$9,"000")</f>
        <v>201006001</v>
      </c>
      <c r="B7" s="64" t="s">
        <v>73</v>
      </c>
      <c r="C7" s="62">
        <v>8000</v>
      </c>
    </row>
    <row r="8" spans="1:3" x14ac:dyDescent="0.4">
      <c r="A8" s="1" t="str">
        <f>TEXT(규칙!$B$4,"000")&amp;"007"&amp;TEXT(규칙!$H$9,"000")</f>
        <v>201007001</v>
      </c>
      <c r="B8" s="64" t="s">
        <v>73</v>
      </c>
      <c r="C8" s="62">
        <v>9000</v>
      </c>
    </row>
    <row r="9" spans="1:3" x14ac:dyDescent="0.4">
      <c r="A9" s="1" t="str">
        <f>TEXT(규칙!$B$4,"000")&amp;"008"&amp;TEXT(규칙!$H$9,"000")</f>
        <v>201008001</v>
      </c>
      <c r="B9" s="64" t="s">
        <v>73</v>
      </c>
      <c r="C9" s="62">
        <v>10000</v>
      </c>
    </row>
    <row r="10" spans="1:3" x14ac:dyDescent="0.4">
      <c r="A10" s="1" t="str">
        <f>TEXT(규칙!$B$4,"000")&amp;"009"&amp;TEXT(규칙!$H$9,"000")</f>
        <v>201009001</v>
      </c>
      <c r="B10" s="64" t="s">
        <v>73</v>
      </c>
      <c r="C10" s="62">
        <v>10000</v>
      </c>
    </row>
    <row r="11" spans="1:3" x14ac:dyDescent="0.4">
      <c r="A11" s="1" t="str">
        <f>TEXT(규칙!$B$4,"000")&amp;"010"&amp;TEXT(규칙!$H$9,"000")</f>
        <v>201010001</v>
      </c>
      <c r="B11" s="64" t="s">
        <v>73</v>
      </c>
      <c r="C11" s="62">
        <v>15000</v>
      </c>
    </row>
    <row r="12" spans="1:3" x14ac:dyDescent="0.4">
      <c r="A12" s="1" t="str">
        <f>TEXT(규칙!$B$4,"000")&amp;"011"&amp;TEXT(규칙!$H$9,"000")</f>
        <v>201011001</v>
      </c>
      <c r="B12" s="64" t="s">
        <v>73</v>
      </c>
      <c r="C12" s="62">
        <v>20000</v>
      </c>
    </row>
    <row r="13" spans="1:3" x14ac:dyDescent="0.4">
      <c r="A13" s="1" t="str">
        <f>TEXT(규칙!$B$4,"000")&amp;"012"&amp;TEXT(규칙!$H$9,"000")</f>
        <v>201012001</v>
      </c>
      <c r="B13" s="64" t="s">
        <v>73</v>
      </c>
      <c r="C13" s="62">
        <v>5000</v>
      </c>
    </row>
    <row r="14" spans="1:3" x14ac:dyDescent="0.4">
      <c r="A14" s="1" t="str">
        <f>TEXT(규칙!$B$4,"000")&amp;"013"&amp;TEXT(규칙!$H$9,"000")</f>
        <v>201013001</v>
      </c>
      <c r="B14" s="64" t="s">
        <v>73</v>
      </c>
      <c r="C14" s="62">
        <v>8000</v>
      </c>
    </row>
    <row r="15" spans="1:3" x14ac:dyDescent="0.4">
      <c r="A15" s="1" t="str">
        <f>TEXT(규칙!$B$4,"000")&amp;"014"&amp;TEXT(규칙!$H$9,"000")</f>
        <v>201014001</v>
      </c>
      <c r="B15" s="64" t="s">
        <v>73</v>
      </c>
      <c r="C15" s="62">
        <v>9000</v>
      </c>
    </row>
    <row r="16" spans="1:3" x14ac:dyDescent="0.4">
      <c r="A16" s="1" t="str">
        <f>TEXT(규칙!$B$4,"000")&amp;"015"&amp;TEXT(규칙!$H$9,"000")</f>
        <v>201015001</v>
      </c>
      <c r="B16" s="64" t="s">
        <v>73</v>
      </c>
      <c r="C16" s="62">
        <v>10000</v>
      </c>
    </row>
    <row r="17" spans="1:3" x14ac:dyDescent="0.4">
      <c r="A17" s="1" t="str">
        <f>TEXT(규칙!$B$4,"000")&amp;"016"&amp;TEXT(규칙!$H$9,"000")</f>
        <v>201016001</v>
      </c>
      <c r="B17" s="64" t="s">
        <v>73</v>
      </c>
      <c r="C17" s="62">
        <v>10000</v>
      </c>
    </row>
    <row r="18" spans="1:3" x14ac:dyDescent="0.4">
      <c r="A18" s="1" t="str">
        <f>TEXT(규칙!$B$4,"000")&amp;"017"&amp;TEXT(규칙!$H$9,"000")</f>
        <v>201017001</v>
      </c>
      <c r="B18" s="64" t="s">
        <v>73</v>
      </c>
      <c r="C18" s="62">
        <v>15000</v>
      </c>
    </row>
    <row r="19" spans="1:3" x14ac:dyDescent="0.4">
      <c r="A19" s="1" t="str">
        <f>TEXT(규칙!$B$4,"000")&amp;"018"&amp;TEXT(규칙!$H$9,"000")</f>
        <v>201018001</v>
      </c>
      <c r="B19" s="64" t="s">
        <v>73</v>
      </c>
      <c r="C19" s="62">
        <v>20000</v>
      </c>
    </row>
    <row r="20" spans="1:3" x14ac:dyDescent="0.4">
      <c r="A20" s="1" t="str">
        <f>TEXT(규칙!$B$4,"000")&amp;"019"&amp;TEXT(규칙!$H$9,"000")</f>
        <v>201019001</v>
      </c>
      <c r="B20" s="64" t="s">
        <v>73</v>
      </c>
      <c r="C20" s="62">
        <v>5000</v>
      </c>
    </row>
    <row r="21" spans="1:3" x14ac:dyDescent="0.4">
      <c r="A21" s="1" t="str">
        <f>TEXT(규칙!$B$4,"000")&amp;"020"&amp;TEXT(규칙!$H$9,"000")</f>
        <v>201020001</v>
      </c>
      <c r="B21" s="64" t="s">
        <v>73</v>
      </c>
      <c r="C21" s="62">
        <v>8000</v>
      </c>
    </row>
    <row r="22" spans="1:3" x14ac:dyDescent="0.4">
      <c r="A22" s="1" t="str">
        <f>TEXT(규칙!$B$4,"000")&amp;"021"&amp;TEXT(규칙!$H$9,"000")</f>
        <v>201021001</v>
      </c>
      <c r="B22" s="64" t="s">
        <v>73</v>
      </c>
      <c r="C22" s="62">
        <v>9000</v>
      </c>
    </row>
    <row r="23" spans="1:3" x14ac:dyDescent="0.4">
      <c r="A23" s="1" t="str">
        <f>TEXT(규칙!$B$4,"000")&amp;"022"&amp;TEXT(규칙!$H$9,"000")</f>
        <v>201022001</v>
      </c>
      <c r="B23" s="64" t="s">
        <v>73</v>
      </c>
      <c r="C23" s="62">
        <v>10000</v>
      </c>
    </row>
    <row r="24" spans="1:3" x14ac:dyDescent="0.4">
      <c r="A24" s="1" t="str">
        <f>TEXT(규칙!$B$4,"000")&amp;"023"&amp;TEXT(규칙!$H$9,"000")</f>
        <v>201023001</v>
      </c>
      <c r="B24" s="64" t="s">
        <v>73</v>
      </c>
      <c r="C24" s="62">
        <v>10000</v>
      </c>
    </row>
    <row r="25" spans="1:3" x14ac:dyDescent="0.4">
      <c r="A25" s="1" t="str">
        <f>TEXT(규칙!$B$4,"000")&amp;"024"&amp;TEXT(규칙!$H$9,"000")</f>
        <v>201024001</v>
      </c>
      <c r="B25" s="64" t="s">
        <v>73</v>
      </c>
      <c r="C25" s="62">
        <v>15000</v>
      </c>
    </row>
    <row r="26" spans="1:3" x14ac:dyDescent="0.4">
      <c r="A26" s="1" t="str">
        <f>TEXT(규칙!$B$4,"000")&amp;"025"&amp;TEXT(규칙!$H$9,"000")</f>
        <v>201025001</v>
      </c>
      <c r="B26" s="64" t="s">
        <v>73</v>
      </c>
      <c r="C26" s="62">
        <v>20000</v>
      </c>
    </row>
    <row r="27" spans="1:3" x14ac:dyDescent="0.4">
      <c r="A27" s="1" t="str">
        <f>TEXT(규칙!$B$4,"000")&amp;"026"&amp;TEXT(규칙!$H$9,"000")</f>
        <v>201026001</v>
      </c>
      <c r="B27" s="64" t="s">
        <v>73</v>
      </c>
      <c r="C27" s="62">
        <v>5000</v>
      </c>
    </row>
    <row r="28" spans="1:3" x14ac:dyDescent="0.4">
      <c r="A28" s="1" t="str">
        <f>TEXT(규칙!$B$4,"000")&amp;"027"&amp;TEXT(규칙!$H$9,"000")</f>
        <v>201027001</v>
      </c>
      <c r="B28" s="64" t="s">
        <v>73</v>
      </c>
      <c r="C28" s="62">
        <v>8000</v>
      </c>
    </row>
    <row r="29" spans="1:3" x14ac:dyDescent="0.4">
      <c r="A29" s="1" t="str">
        <f>TEXT(규칙!$B$4,"000")&amp;"028"&amp;TEXT(규칙!$H$9,"000")</f>
        <v>201028001</v>
      </c>
      <c r="B29" s="64" t="s">
        <v>73</v>
      </c>
      <c r="C29" s="62">
        <v>9000</v>
      </c>
    </row>
    <row r="30" spans="1:3" x14ac:dyDescent="0.4">
      <c r="A30" s="1" t="str">
        <f>TEXT(규칙!$B$4,"000")&amp;"029"&amp;TEXT(규칙!$H$9,"000")</f>
        <v>201029001</v>
      </c>
      <c r="B30" s="64" t="s">
        <v>73</v>
      </c>
      <c r="C30" s="62">
        <v>10000</v>
      </c>
    </row>
    <row r="31" spans="1:3" x14ac:dyDescent="0.4">
      <c r="A31" s="1" t="str">
        <f>TEXT(규칙!$B$4,"000")&amp;"030"&amp;TEXT(규칙!$H$9,"000")</f>
        <v>201030001</v>
      </c>
      <c r="B31" s="64" t="s">
        <v>73</v>
      </c>
      <c r="C31" s="62">
        <v>10000</v>
      </c>
    </row>
    <row r="32" spans="1:3" x14ac:dyDescent="0.4">
      <c r="A32" s="1" t="str">
        <f>TEXT(규칙!$B$4,"000")&amp;"031"&amp;TEXT(규칙!$H$9,"000")</f>
        <v>201031001</v>
      </c>
      <c r="B32" s="64" t="s">
        <v>73</v>
      </c>
      <c r="C32" s="62">
        <v>15000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A3B0-E7F8-481C-A749-71C25F38EA06}">
  <dimension ref="A1:N23"/>
  <sheetViews>
    <sheetView workbookViewId="0">
      <selection activeCell="E19" sqref="E19"/>
    </sheetView>
  </sheetViews>
  <sheetFormatPr defaultRowHeight="17.399999999999999" x14ac:dyDescent="0.4"/>
  <cols>
    <col min="1" max="1" width="20.296875" style="1" customWidth="1"/>
    <col min="2" max="2" width="12.69921875" style="1" customWidth="1"/>
    <col min="3" max="3" width="17.59765625" style="1" customWidth="1"/>
    <col min="4" max="4" width="20.296875" style="1" customWidth="1"/>
    <col min="5" max="5" width="12.69921875" style="8" customWidth="1"/>
    <col min="6" max="6" width="12.69921875" style="1" customWidth="1"/>
    <col min="7" max="7" width="20.296875" style="1" customWidth="1"/>
    <col min="8" max="8" width="12.69921875" style="8" customWidth="1"/>
    <col min="9" max="9" width="12.69921875" style="1" customWidth="1"/>
    <col min="11" max="11" width="8.796875" style="1"/>
    <col min="12" max="12" width="19.8984375" style="1" customWidth="1"/>
    <col min="13" max="13" width="16.69921875" style="1" customWidth="1"/>
    <col min="14" max="14" width="14.09765625" style="14" customWidth="1"/>
  </cols>
  <sheetData>
    <row r="1" spans="1:13" ht="18" thickBot="1" x14ac:dyDescent="0.45"/>
    <row r="2" spans="1:13" ht="18" thickBot="1" x14ac:dyDescent="0.45">
      <c r="A2" s="58" t="s">
        <v>0</v>
      </c>
      <c r="B2" s="70" t="s">
        <v>11</v>
      </c>
      <c r="C2" s="71"/>
      <c r="D2" s="16" t="s">
        <v>62</v>
      </c>
      <c r="E2" s="70" t="s">
        <v>13</v>
      </c>
      <c r="F2" s="71"/>
      <c r="G2" s="16" t="s">
        <v>62</v>
      </c>
      <c r="H2" s="70" t="s">
        <v>18</v>
      </c>
      <c r="I2" s="71"/>
      <c r="K2" s="72" t="s">
        <v>44</v>
      </c>
      <c r="L2" s="12" t="s">
        <v>23</v>
      </c>
      <c r="M2" s="13" t="str">
        <f>TEXT(B3, "000") &amp; TEXT(E3, "000") &amp; TEXT(H3, "000")</f>
        <v>101000001</v>
      </c>
    </row>
    <row r="3" spans="1:13" ht="18" thickBot="1" x14ac:dyDescent="0.45">
      <c r="B3" s="2">
        <v>101</v>
      </c>
      <c r="C3" s="59" t="s">
        <v>12</v>
      </c>
      <c r="E3" s="9">
        <v>0</v>
      </c>
      <c r="F3" s="3" t="s">
        <v>15</v>
      </c>
      <c r="H3" s="9">
        <v>1</v>
      </c>
      <c r="I3" s="3" t="s">
        <v>19</v>
      </c>
      <c r="K3" s="72"/>
      <c r="L3" s="12" t="s">
        <v>24</v>
      </c>
      <c r="M3" s="15" t="str">
        <f>TEXT(B3, "000") &amp; TEXT(E3, "000") &amp; TEXT(H6, "000")</f>
        <v>101000004</v>
      </c>
    </row>
    <row r="4" spans="1:13" x14ac:dyDescent="0.4">
      <c r="B4" s="2">
        <v>201</v>
      </c>
      <c r="C4" s="60" t="s">
        <v>61</v>
      </c>
      <c r="E4" s="9">
        <v>1</v>
      </c>
      <c r="F4" s="3" t="s">
        <v>14</v>
      </c>
      <c r="H4" s="9">
        <v>2</v>
      </c>
      <c r="I4" s="3" t="s">
        <v>20</v>
      </c>
    </row>
    <row r="5" spans="1:13" x14ac:dyDescent="0.4">
      <c r="B5" s="2"/>
      <c r="C5" s="3"/>
      <c r="E5" s="9">
        <v>2</v>
      </c>
      <c r="F5" s="3" t="s">
        <v>16</v>
      </c>
      <c r="H5" s="9">
        <v>3</v>
      </c>
      <c r="I5" s="3" t="s">
        <v>21</v>
      </c>
      <c r="K5" s="75" t="s">
        <v>64</v>
      </c>
    </row>
    <row r="6" spans="1:13" ht="18" thickBot="1" x14ac:dyDescent="0.45">
      <c r="B6" s="4"/>
      <c r="C6" s="5"/>
      <c r="E6" s="10">
        <v>3</v>
      </c>
      <c r="F6" s="7" t="s">
        <v>17</v>
      </c>
      <c r="H6" s="11">
        <v>4</v>
      </c>
      <c r="I6" s="5" t="s">
        <v>22</v>
      </c>
      <c r="K6" s="75"/>
    </row>
    <row r="7" spans="1:13" ht="18" thickBot="1" x14ac:dyDescent="0.45"/>
    <row r="8" spans="1:13" ht="18" thickBot="1" x14ac:dyDescent="0.45">
      <c r="A8" s="17" t="s">
        <v>25</v>
      </c>
      <c r="B8" s="20" t="s">
        <v>27</v>
      </c>
      <c r="C8" s="19" t="s">
        <v>43</v>
      </c>
      <c r="D8" s="61" t="s">
        <v>61</v>
      </c>
      <c r="E8" s="73" t="s">
        <v>66</v>
      </c>
      <c r="F8" s="74"/>
      <c r="G8" s="63" t="s">
        <v>61</v>
      </c>
      <c r="H8" s="73" t="s">
        <v>63</v>
      </c>
      <c r="I8" s="74"/>
    </row>
    <row r="9" spans="1:13" x14ac:dyDescent="0.4">
      <c r="A9" s="18" t="s">
        <v>26</v>
      </c>
      <c r="B9" s="21" t="s">
        <v>28</v>
      </c>
      <c r="C9" s="3" t="s">
        <v>42</v>
      </c>
      <c r="E9" s="9">
        <v>1</v>
      </c>
      <c r="F9" s="57" t="s">
        <v>67</v>
      </c>
      <c r="H9" s="9">
        <v>1</v>
      </c>
      <c r="I9" s="57" t="s">
        <v>69</v>
      </c>
    </row>
    <row r="10" spans="1:13" x14ac:dyDescent="0.4">
      <c r="A10" s="1" t="s">
        <v>38</v>
      </c>
      <c r="B10" s="21" t="s">
        <v>29</v>
      </c>
      <c r="C10" s="3" t="s">
        <v>41</v>
      </c>
      <c r="E10" s="68" t="s">
        <v>72</v>
      </c>
      <c r="F10" s="69"/>
      <c r="H10" s="9">
        <v>2</v>
      </c>
      <c r="I10" s="57" t="s">
        <v>70</v>
      </c>
    </row>
    <row r="11" spans="1:13" ht="18" thickBot="1" x14ac:dyDescent="0.45">
      <c r="B11" s="22" t="s">
        <v>30</v>
      </c>
      <c r="C11" s="5" t="s">
        <v>40</v>
      </c>
      <c r="E11" s="11">
        <v>31</v>
      </c>
      <c r="F11" s="5" t="s">
        <v>68</v>
      </c>
      <c r="H11" s="11">
        <v>3</v>
      </c>
      <c r="I11" s="5" t="s">
        <v>71</v>
      </c>
    </row>
    <row r="12" spans="1:13" ht="18" thickBot="1" x14ac:dyDescent="0.45">
      <c r="B12" s="6"/>
      <c r="C12" s="6"/>
    </row>
    <row r="13" spans="1:13" x14ac:dyDescent="0.4">
      <c r="A13" s="23" t="s">
        <v>31</v>
      </c>
      <c r="B13" s="20" t="s">
        <v>32</v>
      </c>
      <c r="C13" s="24" t="s">
        <v>35</v>
      </c>
    </row>
    <row r="14" spans="1:13" x14ac:dyDescent="0.4">
      <c r="A14" s="18" t="s">
        <v>26</v>
      </c>
      <c r="B14" s="21" t="s">
        <v>33</v>
      </c>
      <c r="C14" s="3" t="s">
        <v>36</v>
      </c>
    </row>
    <row r="15" spans="1:13" ht="18" thickBot="1" x14ac:dyDescent="0.45">
      <c r="A15" s="1" t="s">
        <v>39</v>
      </c>
      <c r="B15" s="22" t="s">
        <v>34</v>
      </c>
      <c r="C15" s="5" t="s">
        <v>37</v>
      </c>
    </row>
    <row r="17" spans="1:3" x14ac:dyDescent="0.4">
      <c r="A17" s="67"/>
      <c r="B17" s="6"/>
      <c r="C17" s="6"/>
    </row>
    <row r="18" spans="1:3" x14ac:dyDescent="0.4">
      <c r="B18" s="6"/>
      <c r="C18" s="6"/>
    </row>
    <row r="19" spans="1:3" x14ac:dyDescent="0.4">
      <c r="B19" s="6"/>
      <c r="C19" s="6"/>
    </row>
    <row r="20" spans="1:3" x14ac:dyDescent="0.4">
      <c r="B20" s="6"/>
      <c r="C20" s="6"/>
    </row>
    <row r="21" spans="1:3" x14ac:dyDescent="0.4">
      <c r="B21" s="6"/>
      <c r="C21" s="6"/>
    </row>
    <row r="22" spans="1:3" x14ac:dyDescent="0.4">
      <c r="B22" s="6"/>
      <c r="C22" s="65"/>
    </row>
    <row r="23" spans="1:3" x14ac:dyDescent="0.4">
      <c r="B23" s="6"/>
      <c r="C23" s="66"/>
    </row>
  </sheetData>
  <mergeCells count="8">
    <mergeCell ref="E10:F10"/>
    <mergeCell ref="B2:C2"/>
    <mergeCell ref="E2:F2"/>
    <mergeCell ref="H2:I2"/>
    <mergeCell ref="K2:K3"/>
    <mergeCell ref="E8:F8"/>
    <mergeCell ref="H8:I8"/>
    <mergeCell ref="K5:K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ItemSheet</vt:lpstr>
      <vt:lpstr>DailyReward</vt:lpstr>
      <vt:lpstr>규칙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2025-09-15T03:12:41Z</dcterms:created>
  <dcterms:modified xsi:type="dcterms:W3CDTF">2026-01-15T05:12:54Z</dcterms:modified>
</cp:coreProperties>
</file>