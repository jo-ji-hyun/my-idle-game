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0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lenovo\My idle game\my-idle-game\Assets\08.Excel\"/>
    </mc:Choice>
  </mc:AlternateContent>
  <xr:revisionPtr revIDLastSave="0" documentId="13_ncr:1_{F7421EAF-FCDE-4824-9B74-DB5E31DE43D2}" xr6:coauthVersionLast="36" xr6:coauthVersionMax="36" xr10:uidLastSave="{00000000-0000-0000-0000-000000000000}"/>
  <bookViews>
    <workbookView xWindow="0" yWindow="0" windowWidth="23040" windowHeight="8856" xr2:uid="{698F8AFA-8894-42B5-A618-49D138110CB8}"/>
  </bookViews>
  <sheets>
    <sheet name="ItemSheet" sheetId="1" r:id="rId1"/>
    <sheet name="규칙" sheetId="2" r:id="rId2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J15" i="1" l="1"/>
  <c r="J16" i="1"/>
  <c r="J17" i="1"/>
  <c r="J14" i="1"/>
  <c r="J11" i="1"/>
  <c r="J12" i="1"/>
  <c r="J13" i="1"/>
  <c r="J10" i="1"/>
  <c r="J7" i="1"/>
  <c r="J8" i="1"/>
  <c r="J9" i="1"/>
  <c r="J6" i="1"/>
  <c r="J3" i="1"/>
  <c r="J4" i="1"/>
  <c r="J5" i="1"/>
  <c r="J2" i="1"/>
  <c r="B15" i="1"/>
  <c r="B16" i="1"/>
  <c r="B17" i="1"/>
  <c r="B14" i="1"/>
  <c r="B11" i="1"/>
  <c r="B12" i="1"/>
  <c r="B13" i="1"/>
  <c r="B10" i="1"/>
  <c r="B7" i="1"/>
  <c r="B8" i="1"/>
  <c r="B9" i="1"/>
  <c r="B6" i="1"/>
  <c r="B3" i="1"/>
  <c r="B4" i="1"/>
  <c r="B5" i="1"/>
  <c r="B2" i="1"/>
  <c r="A15" i="1" l="1"/>
  <c r="A16" i="1"/>
  <c r="A17" i="1"/>
  <c r="A14" i="1"/>
  <c r="A11" i="1"/>
  <c r="A12" i="1"/>
  <c r="A13" i="1"/>
  <c r="A10" i="1"/>
  <c r="A7" i="1"/>
  <c r="A8" i="1"/>
  <c r="A9" i="1"/>
  <c r="A6" i="1"/>
  <c r="A3" i="1"/>
  <c r="A4" i="1"/>
  <c r="A5" i="1"/>
  <c r="A2" i="1"/>
  <c r="N2" i="2"/>
  <c r="N3" i="2"/>
</calcChain>
</file>

<file path=xl/sharedStrings.xml><?xml version="1.0" encoding="utf-8"?>
<sst xmlns="http://schemas.openxmlformats.org/spreadsheetml/2006/main" count="144" uniqueCount="61">
  <si>
    <t>Id</t>
    <phoneticPr fontId="1" type="noConversion"/>
  </si>
  <si>
    <t>Type</t>
    <phoneticPr fontId="1" type="noConversion"/>
  </si>
  <si>
    <t>Hp</t>
    <phoneticPr fontId="1" type="noConversion"/>
  </si>
  <si>
    <t>Atk</t>
    <phoneticPr fontId="1" type="noConversion"/>
  </si>
  <si>
    <t>Def</t>
    <phoneticPr fontId="1" type="noConversion"/>
  </si>
  <si>
    <t>Cri</t>
    <phoneticPr fontId="1" type="noConversion"/>
  </si>
  <si>
    <t>Enhanced</t>
    <phoneticPr fontId="1" type="noConversion"/>
  </si>
  <si>
    <t>Price</t>
    <phoneticPr fontId="1" type="noConversion"/>
  </si>
  <si>
    <t>Grade</t>
    <phoneticPr fontId="1" type="noConversion"/>
  </si>
  <si>
    <t>UpgradeType</t>
    <phoneticPr fontId="1" type="noConversion"/>
  </si>
  <si>
    <t>Icon</t>
    <phoneticPr fontId="1" type="noConversion"/>
  </si>
  <si>
    <t>첫번째 규칙</t>
    <phoneticPr fontId="1" type="noConversion"/>
  </si>
  <si>
    <t>아이템</t>
    <phoneticPr fontId="1" type="noConversion"/>
  </si>
  <si>
    <t>두번째규칙(등급)</t>
    <phoneticPr fontId="1" type="noConversion"/>
  </si>
  <si>
    <t>1등급</t>
    <phoneticPr fontId="1" type="noConversion"/>
  </si>
  <si>
    <t>0등급</t>
    <phoneticPr fontId="1" type="noConversion"/>
  </si>
  <si>
    <t>2등급</t>
    <phoneticPr fontId="1" type="noConversion"/>
  </si>
  <si>
    <t>3등급</t>
    <phoneticPr fontId="1" type="noConversion"/>
  </si>
  <si>
    <t>세번째 규칙(몇번째)</t>
    <phoneticPr fontId="1" type="noConversion"/>
  </si>
  <si>
    <t>첫번째 아이템</t>
    <phoneticPr fontId="1" type="noConversion"/>
  </si>
  <si>
    <t>두번째 아이템</t>
    <phoneticPr fontId="1" type="noConversion"/>
  </si>
  <si>
    <t>세번째 아이템</t>
    <phoneticPr fontId="1" type="noConversion"/>
  </si>
  <si>
    <t>네번째 아이템</t>
    <phoneticPr fontId="1" type="noConversion"/>
  </si>
  <si>
    <t>1등급 첫번째 아이템</t>
    <phoneticPr fontId="1" type="noConversion"/>
  </si>
  <si>
    <t>0등급 네번째 아이템</t>
    <phoneticPr fontId="1" type="noConversion"/>
  </si>
  <si>
    <t>ItemType</t>
  </si>
  <si>
    <t>enum</t>
    <phoneticPr fontId="1" type="noConversion"/>
  </si>
  <si>
    <t>Helmet</t>
    <phoneticPr fontId="1" type="noConversion"/>
  </si>
  <si>
    <t>Weapon</t>
  </si>
  <si>
    <t>Shield</t>
    <phoneticPr fontId="1" type="noConversion"/>
  </si>
  <si>
    <t>Ring</t>
  </si>
  <si>
    <t>ItemEnhanceCostType</t>
  </si>
  <si>
    <t>None</t>
  </si>
  <si>
    <t>Gold</t>
  </si>
  <si>
    <t>Stone</t>
  </si>
  <si>
    <t>강화불가</t>
    <phoneticPr fontId="1" type="noConversion"/>
  </si>
  <si>
    <t>골드</t>
    <phoneticPr fontId="1" type="noConversion"/>
  </si>
  <si>
    <t>강화석</t>
    <phoneticPr fontId="1" type="noConversion"/>
  </si>
  <si>
    <t>강화시 증가하는 능력</t>
    <phoneticPr fontId="1" type="noConversion"/>
  </si>
  <si>
    <t>강화 방식</t>
    <phoneticPr fontId="1" type="noConversion"/>
  </si>
  <si>
    <t>반지(Cri)</t>
    <phoneticPr fontId="1" type="noConversion"/>
  </si>
  <si>
    <t>방어구(Def)</t>
    <phoneticPr fontId="1" type="noConversion"/>
  </si>
  <si>
    <t>무기(Atk)</t>
    <phoneticPr fontId="1" type="noConversion"/>
  </si>
  <si>
    <t>헬멧(Hp)</t>
    <phoneticPr fontId="1" type="noConversion"/>
  </si>
  <si>
    <t>Ex.</t>
    <phoneticPr fontId="1" type="noConversion"/>
  </si>
  <si>
    <t>Assets/00.Externals/Myaddressable/item/itemSheet0.png[itemSheet0_0]</t>
  </si>
  <si>
    <t>Assets/00.Externals/Myaddressable/item/itemSheet0.png[itemSheet0_1]</t>
  </si>
  <si>
    <t>Assets/00.Externals/Myaddressable/item/itemSheet0.png[itemSheet0_2]</t>
  </si>
  <si>
    <t>Assets/00.Externals/Myaddressable/item/itemSheet0.png[itemSheet0_3]</t>
    <phoneticPr fontId="1" type="noConversion"/>
  </si>
  <si>
    <t>Assets/00.Externals/Myaddressable/item/itemSheet0.png[itemSheet1_0]</t>
    <phoneticPr fontId="1" type="noConversion"/>
  </si>
  <si>
    <t>Assets/00.Externals/Myaddressable/item/itemSheet0.png[itemSheet1_1]</t>
  </si>
  <si>
    <t>Assets/00.Externals/Myaddressable/item/itemSheet0.png[itemSheet1_2]</t>
  </si>
  <si>
    <t>Assets/00.Externals/Myaddressable/item/itemSheet0.png[itemSheet1_3]</t>
  </si>
  <si>
    <t>Assets/00.Externals/Myaddressable/item/itemSheet0.png[itemSheet2_0]</t>
    <phoneticPr fontId="1" type="noConversion"/>
  </si>
  <si>
    <t>Assets/00.Externals/Myaddressable/item/itemSheet0.png[itemSheet2_1]</t>
  </si>
  <si>
    <t>Assets/00.Externals/Myaddressable/item/itemSheet0.png[itemSheet2_2]</t>
  </si>
  <si>
    <t>Assets/00.Externals/Myaddressable/item/itemSheet0.png[itemSheet2_3]</t>
  </si>
  <si>
    <t>Assets/00.Externals/Myaddressable/item/itemSheet0.png[itemSheet3_0]</t>
    <phoneticPr fontId="1" type="noConversion"/>
  </si>
  <si>
    <t>Assets/00.Externals/Myaddressable/item/itemSheet0.png[itemSheet3_1]</t>
  </si>
  <si>
    <t>Assets/00.Externals/Myaddressable/item/itemSheet0.png[itemSheet3_2]</t>
  </si>
  <si>
    <t>Assets/00.Externals/Myaddressable/item/itemSheet0.png[itemSheet3_3]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</si>
</sst>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76" formatCode="000"/>
    <numFmt numFmtId="177" formatCode="00000000"/>
    <numFmt numFmtId="178" formatCode="#,##0_);\(#,##0\)"/>
  </numFmts>
  <fonts count="9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1"/>
      <color rgb="FFFF0000"/>
      <name val="맑은 고딕"/>
      <family val="2"/>
      <charset val="129"/>
      <scheme val="minor"/>
    </font>
    <font>
      <sz val="11"/>
      <color theme="4"/>
      <name val="맑은 고딕"/>
      <family val="2"/>
      <charset val="129"/>
      <scheme val="minor"/>
    </font>
    <font>
      <sz val="11"/>
      <color rgb="FF002060"/>
      <name val="맑은 고딕"/>
      <family val="2"/>
      <charset val="129"/>
      <scheme val="minor"/>
    </font>
    <font>
      <sz val="11"/>
      <color theme="1" tint="4.9989318521683403E-2"/>
      <name val="맑은 고딕"/>
      <family val="2"/>
      <charset val="129"/>
      <scheme val="minor"/>
    </font>
    <font>
      <sz val="11"/>
      <color theme="9" tint="-0.249977111117893"/>
      <name val="맑은 고딕"/>
      <family val="2"/>
      <charset val="129"/>
      <scheme val="minor"/>
    </font>
    <font>
      <sz val="11"/>
      <color rgb="FFF5F51B"/>
      <name val="맑은 고딕"/>
      <family val="2"/>
      <charset val="129"/>
      <scheme val="minor"/>
    </font>
    <font>
      <sz val="11"/>
      <color rgb="FFF5F51B"/>
      <name val="맑은 고딕"/>
      <family val="3"/>
      <charset val="129"/>
      <scheme val="minor"/>
    </font>
  </fonts>
  <fills count="8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9966FF"/>
        <bgColor indexed="64"/>
      </patternFill>
    </fill>
    <fill>
      <patternFill patternType="solid">
        <fgColor theme="8" tint="0.79998168889431442"/>
        <bgColor indexed="64"/>
      </patternFill>
    </fill>
  </fills>
  <borders count="21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62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0" xfId="0" applyBorder="1" applyAlignment="1">
      <alignment horizontal="center" vertical="center"/>
    </xf>
    <xf numFmtId="0" fontId="0" fillId="0" borderId="6" xfId="0" applyFill="1" applyBorder="1" applyAlignment="1">
      <alignment horizontal="center" vertical="center"/>
    </xf>
    <xf numFmtId="176" fontId="0" fillId="0" borderId="0" xfId="0" applyNumberFormat="1" applyAlignment="1">
      <alignment horizontal="center" vertical="center"/>
    </xf>
    <xf numFmtId="176" fontId="0" fillId="0" borderId="3" xfId="0" applyNumberFormat="1" applyBorder="1" applyAlignment="1">
      <alignment horizontal="center" vertical="center"/>
    </xf>
    <xf numFmtId="176" fontId="0" fillId="0" borderId="5" xfId="0" applyNumberFormat="1" applyFill="1" applyBorder="1" applyAlignment="1">
      <alignment horizontal="center" vertical="center"/>
    </xf>
    <xf numFmtId="176" fontId="0" fillId="0" borderId="5" xfId="0" applyNumberFormat="1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177" fontId="0" fillId="0" borderId="1" xfId="0" applyNumberFormat="1" applyBorder="1" applyAlignment="1">
      <alignment horizontal="center" vertical="center"/>
    </xf>
    <xf numFmtId="177" fontId="0" fillId="0" borderId="0" xfId="0" applyNumberFormat="1" applyAlignment="1">
      <alignment horizontal="center" vertical="center"/>
    </xf>
    <xf numFmtId="177" fontId="0" fillId="0" borderId="8" xfId="0" applyNumberFormat="1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0" fontId="0" fillId="3" borderId="0" xfId="0" applyFill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0" fillId="0" borderId="12" xfId="0" applyBorder="1" applyAlignment="1">
      <alignment horizontal="center" vertical="center"/>
    </xf>
    <xf numFmtId="0" fontId="0" fillId="4" borderId="0" xfId="0" applyFill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0" fillId="0" borderId="13" xfId="0" applyBorder="1" applyAlignment="1">
      <alignment horizontal="center" vertical="center"/>
    </xf>
    <xf numFmtId="0" fontId="0" fillId="0" borderId="14" xfId="0" applyBorder="1" applyAlignment="1">
      <alignment horizontal="center" vertical="center"/>
    </xf>
    <xf numFmtId="0" fontId="0" fillId="0" borderId="0" xfId="0" applyBorder="1" applyAlignment="1">
      <alignment horizontal="right" vertical="center"/>
    </xf>
    <xf numFmtId="0" fontId="4" fillId="4" borderId="19" xfId="0" applyFont="1" applyFill="1" applyBorder="1" applyAlignment="1">
      <alignment horizontal="center" vertical="center"/>
    </xf>
    <xf numFmtId="0" fontId="4" fillId="4" borderId="20" xfId="0" applyFont="1" applyFill="1" applyBorder="1" applyAlignment="1">
      <alignment horizontal="center" vertical="center"/>
    </xf>
    <xf numFmtId="0" fontId="4" fillId="4" borderId="18" xfId="0" applyFont="1" applyFill="1" applyBorder="1" applyAlignment="1">
      <alignment horizontal="center" vertical="center"/>
    </xf>
    <xf numFmtId="0" fontId="4" fillId="4" borderId="18" xfId="0" applyFont="1" applyFill="1" applyBorder="1">
      <alignment vertical="center"/>
    </xf>
    <xf numFmtId="0" fontId="4" fillId="4" borderId="16" xfId="0" applyFont="1" applyFill="1" applyBorder="1" applyAlignment="1">
      <alignment horizontal="center" vertical="center"/>
    </xf>
    <xf numFmtId="0" fontId="4" fillId="4" borderId="17" xfId="0" applyFont="1" applyFill="1" applyBorder="1" applyAlignment="1">
      <alignment horizontal="center" vertical="center"/>
    </xf>
    <xf numFmtId="0" fontId="4" fillId="4" borderId="15" xfId="0" applyFont="1" applyFill="1" applyBorder="1">
      <alignment vertical="center"/>
    </xf>
    <xf numFmtId="0" fontId="5" fillId="7" borderId="16" xfId="0" applyFont="1" applyFill="1" applyBorder="1" applyAlignment="1">
      <alignment horizontal="center" vertical="center"/>
    </xf>
    <xf numFmtId="0" fontId="5" fillId="7" borderId="17" xfId="0" applyFont="1" applyFill="1" applyBorder="1" applyAlignment="1">
      <alignment horizontal="center" vertical="center"/>
    </xf>
    <xf numFmtId="0" fontId="5" fillId="7" borderId="15" xfId="0" applyFont="1" applyFill="1" applyBorder="1" applyAlignment="1">
      <alignment horizontal="center" vertical="center"/>
    </xf>
    <xf numFmtId="0" fontId="5" fillId="7" borderId="15" xfId="0" applyFont="1" applyFill="1" applyBorder="1">
      <alignment vertical="center"/>
    </xf>
    <xf numFmtId="0" fontId="6" fillId="5" borderId="16" xfId="0" applyFont="1" applyFill="1" applyBorder="1" applyAlignment="1">
      <alignment horizontal="center" vertical="center"/>
    </xf>
    <xf numFmtId="0" fontId="6" fillId="5" borderId="17" xfId="0" applyFont="1" applyFill="1" applyBorder="1" applyAlignment="1">
      <alignment horizontal="center" vertical="center"/>
    </xf>
    <xf numFmtId="0" fontId="6" fillId="5" borderId="15" xfId="0" applyFont="1" applyFill="1" applyBorder="1" applyAlignment="1">
      <alignment horizontal="center" vertical="center"/>
    </xf>
    <xf numFmtId="0" fontId="6" fillId="5" borderId="15" xfId="0" applyFont="1" applyFill="1" applyBorder="1">
      <alignment vertical="center"/>
    </xf>
    <xf numFmtId="0" fontId="6" fillId="5" borderId="19" xfId="0" applyFont="1" applyFill="1" applyBorder="1" applyAlignment="1">
      <alignment horizontal="center" vertical="center"/>
    </xf>
    <xf numFmtId="0" fontId="6" fillId="5" borderId="20" xfId="0" applyFont="1" applyFill="1" applyBorder="1" applyAlignment="1">
      <alignment horizontal="center" vertical="center"/>
    </xf>
    <xf numFmtId="0" fontId="6" fillId="5" borderId="18" xfId="0" applyFont="1" applyFill="1" applyBorder="1">
      <alignment vertical="center"/>
    </xf>
    <xf numFmtId="178" fontId="0" fillId="0" borderId="14" xfId="0" applyNumberFormat="1" applyBorder="1" applyAlignment="1">
      <alignment horizontal="center" vertical="center"/>
    </xf>
    <xf numFmtId="178" fontId="6" fillId="5" borderId="17" xfId="0" applyNumberFormat="1" applyFont="1" applyFill="1" applyBorder="1" applyAlignment="1">
      <alignment horizontal="center" vertical="center"/>
    </xf>
    <xf numFmtId="178" fontId="6" fillId="5" borderId="20" xfId="0" applyNumberFormat="1" applyFont="1" applyFill="1" applyBorder="1" applyAlignment="1">
      <alignment horizontal="center" vertical="center"/>
    </xf>
    <xf numFmtId="178" fontId="5" fillId="7" borderId="17" xfId="0" applyNumberFormat="1" applyFont="1" applyFill="1" applyBorder="1" applyAlignment="1">
      <alignment horizontal="center" vertical="center"/>
    </xf>
    <xf numFmtId="178" fontId="4" fillId="4" borderId="20" xfId="0" applyNumberFormat="1" applyFont="1" applyFill="1" applyBorder="1" applyAlignment="1">
      <alignment horizontal="center" vertical="center"/>
    </xf>
    <xf numFmtId="178" fontId="4" fillId="4" borderId="17" xfId="0" applyNumberFormat="1" applyFont="1" applyFill="1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7" fillId="6" borderId="16" xfId="0" applyFont="1" applyFill="1" applyBorder="1" applyAlignment="1">
      <alignment horizontal="center" vertical="center"/>
    </xf>
    <xf numFmtId="0" fontId="7" fillId="6" borderId="17" xfId="0" applyFont="1" applyFill="1" applyBorder="1" applyAlignment="1">
      <alignment horizontal="center" vertical="center"/>
    </xf>
    <xf numFmtId="178" fontId="7" fillId="6" borderId="17" xfId="0" applyNumberFormat="1" applyFont="1" applyFill="1" applyBorder="1" applyAlignment="1">
      <alignment horizontal="center" vertical="center"/>
    </xf>
    <xf numFmtId="0" fontId="7" fillId="6" borderId="15" xfId="0" applyFont="1" applyFill="1" applyBorder="1" applyAlignment="1">
      <alignment horizontal="center" vertical="center"/>
    </xf>
    <xf numFmtId="0" fontId="8" fillId="6" borderId="15" xfId="0" applyFont="1" applyFill="1" applyBorder="1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colors>
    <mruColors>
      <color rgb="FFF5F51B"/>
      <color rgb="FFFFFFFF"/>
      <color rgb="FFFFF8A3"/>
      <color rgb="FF9966FF"/>
      <color rgb="FF6699FF"/>
      <color rgb="FF9999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ACB276-9A8E-4EAC-977B-709B2D06B097}">
  <dimension ref="A1:K17"/>
  <sheetViews>
    <sheetView tabSelected="1" workbookViewId="0">
      <pane ySplit="1" topLeftCell="A2" activePane="bottomLeft" state="frozen"/>
      <selection pane="bottomLeft" activeCell="F23" sqref="F23"/>
    </sheetView>
  </sheetViews>
  <sheetFormatPr defaultRowHeight="17.399999999999999" x14ac:dyDescent="0.4"/>
  <cols>
    <col min="1" max="1" width="16.69921875" style="27" customWidth="1"/>
    <col min="2" max="7" width="16.69921875" style="28" customWidth="1"/>
    <col min="8" max="8" width="16.69921875" style="48" customWidth="1"/>
    <col min="9" max="10" width="16.69921875" style="28" customWidth="1"/>
    <col min="11" max="11" width="61.296875" style="1" customWidth="1"/>
  </cols>
  <sheetData>
    <row r="1" spans="1:11" s="29" customFormat="1" x14ac:dyDescent="0.4">
      <c r="A1" s="27" t="s">
        <v>0</v>
      </c>
      <c r="B1" s="28" t="s">
        <v>1</v>
      </c>
      <c r="C1" s="28" t="s">
        <v>2</v>
      </c>
      <c r="D1" s="28" t="s">
        <v>3</v>
      </c>
      <c r="E1" s="28" t="s">
        <v>4</v>
      </c>
      <c r="F1" s="28" t="s">
        <v>5</v>
      </c>
      <c r="G1" s="28" t="s">
        <v>6</v>
      </c>
      <c r="H1" s="48" t="s">
        <v>7</v>
      </c>
      <c r="I1" s="28" t="s">
        <v>8</v>
      </c>
      <c r="J1" s="28" t="s">
        <v>9</v>
      </c>
      <c r="K1" s="6" t="s">
        <v>10</v>
      </c>
    </row>
    <row r="2" spans="1:11" s="44" customFormat="1" x14ac:dyDescent="0.4">
      <c r="A2" s="41" t="str">
        <f>TEXT(규칙!$B$3,"000")&amp;TEXT(규칙!$E$3,"000")&amp;TEXT(규칙!H3,"000")</f>
        <v>101000001</v>
      </c>
      <c r="B2" s="42" t="str">
        <f>규칙!B8</f>
        <v>Helmet</v>
      </c>
      <c r="C2" s="42">
        <v>500</v>
      </c>
      <c r="D2" s="42">
        <v>0</v>
      </c>
      <c r="E2" s="42">
        <v>0</v>
      </c>
      <c r="F2" s="42">
        <v>0</v>
      </c>
      <c r="G2" s="42">
        <v>0</v>
      </c>
      <c r="H2" s="49">
        <v>500</v>
      </c>
      <c r="I2" s="42">
        <v>0</v>
      </c>
      <c r="J2" s="42" t="str">
        <f>규칙!$B$14</f>
        <v>Gold</v>
      </c>
      <c r="K2" s="43" t="s">
        <v>45</v>
      </c>
    </row>
    <row r="3" spans="1:11" s="47" customFormat="1" x14ac:dyDescent="0.4">
      <c r="A3" s="45" t="str">
        <f>TEXT(규칙!$B$3,"000")&amp;TEXT(규칙!$E$3,"000")&amp;TEXT(규칙!H4,"000")</f>
        <v>101000002</v>
      </c>
      <c r="B3" s="46" t="str">
        <f>규칙!B9</f>
        <v>Weapon</v>
      </c>
      <c r="C3" s="46">
        <v>0</v>
      </c>
      <c r="D3" s="46">
        <v>5</v>
      </c>
      <c r="E3" s="46">
        <v>0</v>
      </c>
      <c r="F3" s="46">
        <v>0</v>
      </c>
      <c r="G3" s="46">
        <v>0</v>
      </c>
      <c r="H3" s="50">
        <v>1000</v>
      </c>
      <c r="I3" s="46">
        <v>0</v>
      </c>
      <c r="J3" s="46" t="str">
        <f>규칙!$B$14</f>
        <v>Gold</v>
      </c>
      <c r="K3" s="43" t="s">
        <v>46</v>
      </c>
    </row>
    <row r="4" spans="1:11" s="47" customFormat="1" x14ac:dyDescent="0.4">
      <c r="A4" s="45" t="str">
        <f>TEXT(규칙!$B$3,"000")&amp;TEXT(규칙!$E$3,"000")&amp;TEXT(규칙!H5,"000")</f>
        <v>101000003</v>
      </c>
      <c r="B4" s="46" t="str">
        <f>규칙!B10</f>
        <v>Shield</v>
      </c>
      <c r="C4" s="46">
        <v>0</v>
      </c>
      <c r="D4" s="46">
        <v>0</v>
      </c>
      <c r="E4" s="46">
        <v>2</v>
      </c>
      <c r="F4" s="46">
        <v>0</v>
      </c>
      <c r="G4" s="46">
        <v>0</v>
      </c>
      <c r="H4" s="50">
        <v>800</v>
      </c>
      <c r="I4" s="46">
        <v>0</v>
      </c>
      <c r="J4" s="46" t="str">
        <f>규칙!$B$14</f>
        <v>Gold</v>
      </c>
      <c r="K4" s="43" t="s">
        <v>47</v>
      </c>
    </row>
    <row r="5" spans="1:11" s="47" customFormat="1" x14ac:dyDescent="0.4">
      <c r="A5" s="45" t="str">
        <f>TEXT(규칙!$B$3,"000")&amp;TEXT(규칙!$E$3,"000")&amp;TEXT(규칙!H6,"000")</f>
        <v>101000004</v>
      </c>
      <c r="B5" s="46" t="str">
        <f>규칙!B11</f>
        <v>Ring</v>
      </c>
      <c r="C5" s="46">
        <v>0</v>
      </c>
      <c r="D5" s="46">
        <v>0</v>
      </c>
      <c r="E5" s="46">
        <v>0</v>
      </c>
      <c r="F5" s="46">
        <v>5</v>
      </c>
      <c r="G5" s="46">
        <v>0</v>
      </c>
      <c r="H5" s="50">
        <v>1200</v>
      </c>
      <c r="I5" s="46">
        <v>0</v>
      </c>
      <c r="J5" s="46" t="str">
        <f>규칙!$B$14</f>
        <v>Gold</v>
      </c>
      <c r="K5" s="43" t="s">
        <v>48</v>
      </c>
    </row>
    <row r="6" spans="1:11" s="40" customFormat="1" x14ac:dyDescent="0.4">
      <c r="A6" s="37" t="str">
        <f>TEXT(규칙!$B$3,"000")&amp;TEXT(규칙!$E$4,"000")&amp;TEXT(규칙!H3,"000")</f>
        <v>101001001</v>
      </c>
      <c r="B6" s="38" t="str">
        <f>규칙!B8</f>
        <v>Helmet</v>
      </c>
      <c r="C6" s="38">
        <v>3500</v>
      </c>
      <c r="D6" s="38">
        <v>0</v>
      </c>
      <c r="E6" s="38">
        <v>0</v>
      </c>
      <c r="F6" s="38">
        <v>0</v>
      </c>
      <c r="G6" s="38">
        <v>0</v>
      </c>
      <c r="H6" s="51">
        <v>3500</v>
      </c>
      <c r="I6" s="38">
        <v>1</v>
      </c>
      <c r="J6" s="38" t="str">
        <f>규칙!$B$13</f>
        <v>None</v>
      </c>
      <c r="K6" s="39" t="s">
        <v>49</v>
      </c>
    </row>
    <row r="7" spans="1:11" s="40" customFormat="1" x14ac:dyDescent="0.4">
      <c r="A7" s="37" t="str">
        <f>TEXT(규칙!$B$3,"000")&amp;TEXT(규칙!$E$4,"000")&amp;TEXT(규칙!H4,"000")</f>
        <v>101001002</v>
      </c>
      <c r="B7" s="38" t="str">
        <f>규칙!B9</f>
        <v>Weapon</v>
      </c>
      <c r="C7" s="38">
        <v>0</v>
      </c>
      <c r="D7" s="38">
        <v>30</v>
      </c>
      <c r="E7" s="38">
        <v>0</v>
      </c>
      <c r="F7" s="38">
        <v>0</v>
      </c>
      <c r="G7" s="38">
        <v>0</v>
      </c>
      <c r="H7" s="51">
        <v>5000</v>
      </c>
      <c r="I7" s="38">
        <v>1</v>
      </c>
      <c r="J7" s="38" t="str">
        <f>규칙!$B$13</f>
        <v>None</v>
      </c>
      <c r="K7" s="39" t="s">
        <v>50</v>
      </c>
    </row>
    <row r="8" spans="1:11" s="40" customFormat="1" x14ac:dyDescent="0.4">
      <c r="A8" s="37" t="str">
        <f>TEXT(규칙!$B$3,"000")&amp;TEXT(규칙!$E$4,"000")&amp;TEXT(규칙!H5,"000")</f>
        <v>101001003</v>
      </c>
      <c r="B8" s="38" t="str">
        <f>규칙!B10</f>
        <v>Shield</v>
      </c>
      <c r="C8" s="38">
        <v>0</v>
      </c>
      <c r="D8" s="38">
        <v>0</v>
      </c>
      <c r="E8" s="38">
        <v>12</v>
      </c>
      <c r="F8" s="38">
        <v>0</v>
      </c>
      <c r="G8" s="38">
        <v>0</v>
      </c>
      <c r="H8" s="51">
        <v>4500</v>
      </c>
      <c r="I8" s="38">
        <v>1</v>
      </c>
      <c r="J8" s="38" t="str">
        <f>규칙!$B$13</f>
        <v>None</v>
      </c>
      <c r="K8" s="39" t="s">
        <v>51</v>
      </c>
    </row>
    <row r="9" spans="1:11" s="40" customFormat="1" x14ac:dyDescent="0.4">
      <c r="A9" s="37" t="str">
        <f>TEXT(규칙!$B$3,"000")&amp;TEXT(규칙!$E$4,"000")&amp;TEXT(규칙!H6,"000")</f>
        <v>101001004</v>
      </c>
      <c r="B9" s="38" t="str">
        <f>규칙!B11</f>
        <v>Ring</v>
      </c>
      <c r="C9" s="38">
        <v>0</v>
      </c>
      <c r="D9" s="38">
        <v>0</v>
      </c>
      <c r="E9" s="38">
        <v>0</v>
      </c>
      <c r="F9" s="38">
        <v>36</v>
      </c>
      <c r="G9" s="38">
        <v>0</v>
      </c>
      <c r="H9" s="51">
        <v>6000</v>
      </c>
      <c r="I9" s="38">
        <v>1</v>
      </c>
      <c r="J9" s="38" t="str">
        <f>규칙!$B$13</f>
        <v>None</v>
      </c>
      <c r="K9" s="39" t="s">
        <v>52</v>
      </c>
    </row>
    <row r="10" spans="1:11" s="33" customFormat="1" x14ac:dyDescent="0.4">
      <c r="A10" s="30" t="str">
        <f>TEXT(규칙!$B$3,"000")&amp;TEXT(규칙!$E$5,"000")&amp;TEXT(규칙!H3,"000")</f>
        <v>101002001</v>
      </c>
      <c r="B10" s="31" t="str">
        <f>규칙!B8</f>
        <v>Helmet</v>
      </c>
      <c r="C10" s="31">
        <v>3500</v>
      </c>
      <c r="D10" s="31">
        <v>0</v>
      </c>
      <c r="E10" s="31">
        <v>8</v>
      </c>
      <c r="F10" s="31">
        <v>0</v>
      </c>
      <c r="G10" s="31">
        <v>0</v>
      </c>
      <c r="H10" s="52">
        <v>4400</v>
      </c>
      <c r="I10" s="31">
        <v>2</v>
      </c>
      <c r="J10" s="31" t="str">
        <f>규칙!$B$14</f>
        <v>Gold</v>
      </c>
      <c r="K10" s="32" t="s">
        <v>53</v>
      </c>
    </row>
    <row r="11" spans="1:11" s="36" customFormat="1" x14ac:dyDescent="0.4">
      <c r="A11" s="34" t="str">
        <f>TEXT(규칙!$B$3,"000")&amp;TEXT(규칙!$E$5,"000")&amp;TEXT(규칙!H4,"000")</f>
        <v>101002002</v>
      </c>
      <c r="B11" s="35" t="str">
        <f>규칙!B9</f>
        <v>Weapon</v>
      </c>
      <c r="C11" s="35">
        <v>0</v>
      </c>
      <c r="D11" s="35">
        <v>32</v>
      </c>
      <c r="E11" s="35">
        <v>0</v>
      </c>
      <c r="F11" s="35">
        <v>10</v>
      </c>
      <c r="G11" s="35">
        <v>0</v>
      </c>
      <c r="H11" s="53">
        <v>5500</v>
      </c>
      <c r="I11" s="35">
        <v>2</v>
      </c>
      <c r="J11" s="35" t="str">
        <f>규칙!$B$14</f>
        <v>Gold</v>
      </c>
      <c r="K11" s="32" t="s">
        <v>54</v>
      </c>
    </row>
    <row r="12" spans="1:11" s="36" customFormat="1" x14ac:dyDescent="0.4">
      <c r="A12" s="34" t="str">
        <f>TEXT(규칙!$B$3,"000")&amp;TEXT(규칙!$E$5,"000")&amp;TEXT(규칙!H5,"000")</f>
        <v>101002003</v>
      </c>
      <c r="B12" s="35" t="str">
        <f>규칙!B10</f>
        <v>Shield</v>
      </c>
      <c r="C12" s="35">
        <v>1800</v>
      </c>
      <c r="D12" s="35">
        <v>0</v>
      </c>
      <c r="E12" s="35">
        <v>16</v>
      </c>
      <c r="F12" s="35">
        <v>0</v>
      </c>
      <c r="G12" s="35">
        <v>0</v>
      </c>
      <c r="H12" s="53">
        <v>4800</v>
      </c>
      <c r="I12" s="35">
        <v>2</v>
      </c>
      <c r="J12" s="35" t="str">
        <f>규칙!$B$14</f>
        <v>Gold</v>
      </c>
      <c r="K12" s="32" t="s">
        <v>55</v>
      </c>
    </row>
    <row r="13" spans="1:11" s="36" customFormat="1" x14ac:dyDescent="0.4">
      <c r="A13" s="34" t="str">
        <f>TEXT(규칙!$B$3,"000")&amp;TEXT(규칙!$E$5,"000")&amp;TEXT(규칙!H6,"000")</f>
        <v>101002004</v>
      </c>
      <c r="B13" s="35" t="str">
        <f>규칙!B11</f>
        <v>Ring</v>
      </c>
      <c r="C13" s="35">
        <v>0</v>
      </c>
      <c r="D13" s="35">
        <v>40</v>
      </c>
      <c r="E13" s="35">
        <v>6</v>
      </c>
      <c r="F13" s="35">
        <v>20</v>
      </c>
      <c r="G13" s="35">
        <v>0</v>
      </c>
      <c r="H13" s="53">
        <v>6500</v>
      </c>
      <c r="I13" s="35">
        <v>2</v>
      </c>
      <c r="J13" s="35" t="str">
        <f>규칙!$B$14</f>
        <v>Gold</v>
      </c>
      <c r="K13" s="32" t="s">
        <v>56</v>
      </c>
    </row>
    <row r="14" spans="1:11" s="61" customFormat="1" x14ac:dyDescent="0.4">
      <c r="A14" s="57" t="str">
        <f>TEXT(규칙!$B$3,"000")&amp;TEXT(규칙!$E$6,"000")&amp;TEXT(규칙!H3,"000")</f>
        <v>101003001</v>
      </c>
      <c r="B14" s="58" t="str">
        <f>규칙!B8</f>
        <v>Helmet</v>
      </c>
      <c r="C14" s="58">
        <v>5000</v>
      </c>
      <c r="D14" s="58">
        <v>0</v>
      </c>
      <c r="E14" s="58">
        <v>0</v>
      </c>
      <c r="F14" s="58">
        <v>0</v>
      </c>
      <c r="G14" s="58">
        <v>0</v>
      </c>
      <c r="H14" s="59">
        <v>10000</v>
      </c>
      <c r="I14" s="58">
        <v>3</v>
      </c>
      <c r="J14" s="58" t="str">
        <f>규칙!$B$15</f>
        <v>Stone</v>
      </c>
      <c r="K14" s="60" t="s">
        <v>57</v>
      </c>
    </row>
    <row r="15" spans="1:11" s="61" customFormat="1" x14ac:dyDescent="0.4">
      <c r="A15" s="57" t="str">
        <f>TEXT(규칙!$B$3,"000")&amp;TEXT(규칙!$E$6,"000")&amp;TEXT(규칙!H4,"000")</f>
        <v>101003002</v>
      </c>
      <c r="B15" s="58" t="str">
        <f>규칙!B9</f>
        <v>Weapon</v>
      </c>
      <c r="C15" s="58">
        <v>0</v>
      </c>
      <c r="D15" s="58">
        <v>80</v>
      </c>
      <c r="E15" s="58">
        <v>0</v>
      </c>
      <c r="F15" s="58">
        <v>0</v>
      </c>
      <c r="G15" s="58">
        <v>0</v>
      </c>
      <c r="H15" s="59">
        <v>15000</v>
      </c>
      <c r="I15" s="58">
        <v>3</v>
      </c>
      <c r="J15" s="58" t="str">
        <f>규칙!$B$15</f>
        <v>Stone</v>
      </c>
      <c r="K15" s="60" t="s">
        <v>58</v>
      </c>
    </row>
    <row r="16" spans="1:11" s="61" customFormat="1" x14ac:dyDescent="0.4">
      <c r="A16" s="57" t="str">
        <f>TEXT(규칙!$B$3,"000")&amp;TEXT(규칙!$E$6,"000")&amp;TEXT(규칙!H5,"000")</f>
        <v>101003003</v>
      </c>
      <c r="B16" s="58" t="str">
        <f>규칙!B10</f>
        <v>Shield</v>
      </c>
      <c r="C16" s="58">
        <v>0</v>
      </c>
      <c r="D16" s="58">
        <v>0</v>
      </c>
      <c r="E16" s="58">
        <v>35</v>
      </c>
      <c r="F16" s="58">
        <v>0</v>
      </c>
      <c r="G16" s="58">
        <v>0</v>
      </c>
      <c r="H16" s="59">
        <v>12000</v>
      </c>
      <c r="I16" s="58">
        <v>3</v>
      </c>
      <c r="J16" s="58" t="str">
        <f>규칙!$B$15</f>
        <v>Stone</v>
      </c>
      <c r="K16" s="60" t="s">
        <v>59</v>
      </c>
    </row>
    <row r="17" spans="1:11" s="61" customFormat="1" x14ac:dyDescent="0.4">
      <c r="A17" s="57" t="str">
        <f>TEXT(규칙!$B$3,"000")&amp;TEXT(규칙!$E$6,"000")&amp;TEXT(규칙!H6,"000")</f>
        <v>101003004</v>
      </c>
      <c r="B17" s="58" t="str">
        <f>규칙!B11</f>
        <v>Ring</v>
      </c>
      <c r="C17" s="58">
        <v>0</v>
      </c>
      <c r="D17" s="58">
        <v>0</v>
      </c>
      <c r="E17" s="58">
        <v>0</v>
      </c>
      <c r="F17" s="58">
        <v>55</v>
      </c>
      <c r="G17" s="58">
        <v>0</v>
      </c>
      <c r="H17" s="59">
        <v>18000</v>
      </c>
      <c r="I17" s="58">
        <v>3</v>
      </c>
      <c r="J17" s="58" t="str">
        <f>규칙!$B$15</f>
        <v>Stone</v>
      </c>
      <c r="K17" s="60" t="s">
        <v>60</v>
      </c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6DA3B0-E7F8-481C-A749-71C25F38EA06}">
  <dimension ref="A1:N15"/>
  <sheetViews>
    <sheetView workbookViewId="0">
      <selection activeCell="M14" sqref="M14"/>
    </sheetView>
  </sheetViews>
  <sheetFormatPr defaultRowHeight="17.399999999999999" x14ac:dyDescent="0.4"/>
  <cols>
    <col min="1" max="1" width="20.296875" style="1" customWidth="1"/>
    <col min="2" max="2" width="12.69921875" style="1" customWidth="1"/>
    <col min="3" max="3" width="17.59765625" style="1" customWidth="1"/>
    <col min="5" max="5" width="12.69921875" style="8" customWidth="1"/>
    <col min="6" max="6" width="12.69921875" style="1" customWidth="1"/>
    <col min="8" max="8" width="12.69921875" style="8" customWidth="1"/>
    <col min="9" max="9" width="12.69921875" style="1" customWidth="1"/>
    <col min="11" max="11" width="8.796875" style="1"/>
    <col min="12" max="12" width="19.8984375" style="1" customWidth="1"/>
    <col min="13" max="13" width="8.796875" style="1"/>
    <col min="14" max="14" width="14.09765625" style="16" customWidth="1"/>
  </cols>
  <sheetData>
    <row r="1" spans="1:14" ht="18" thickBot="1" x14ac:dyDescent="0.45"/>
    <row r="2" spans="1:14" ht="18" thickBot="1" x14ac:dyDescent="0.45">
      <c r="A2" s="18" t="s">
        <v>0</v>
      </c>
      <c r="B2" s="54" t="s">
        <v>11</v>
      </c>
      <c r="C2" s="55"/>
      <c r="E2" s="54" t="s">
        <v>13</v>
      </c>
      <c r="F2" s="55"/>
      <c r="H2" s="54" t="s">
        <v>18</v>
      </c>
      <c r="I2" s="55"/>
      <c r="K2" s="56" t="s">
        <v>44</v>
      </c>
      <c r="L2" s="14" t="s">
        <v>23</v>
      </c>
      <c r="M2" s="13"/>
      <c r="N2" s="15" t="str">
        <f>TEXT(B3, "000") &amp; TEXT(E3, "000") &amp; TEXT(H3, "000")</f>
        <v>101000001</v>
      </c>
    </row>
    <row r="3" spans="1:14" ht="18" thickBot="1" x14ac:dyDescent="0.45">
      <c r="B3" s="2">
        <v>101</v>
      </c>
      <c r="C3" s="3" t="s">
        <v>12</v>
      </c>
      <c r="E3" s="9">
        <v>0</v>
      </c>
      <c r="F3" s="3" t="s">
        <v>15</v>
      </c>
      <c r="H3" s="9">
        <v>1</v>
      </c>
      <c r="I3" s="3" t="s">
        <v>19</v>
      </c>
      <c r="K3" s="56"/>
      <c r="L3" s="12" t="s">
        <v>24</v>
      </c>
      <c r="M3" s="14"/>
      <c r="N3" s="17" t="str">
        <f>TEXT(B3, "000") &amp; TEXT(E3, "000") &amp; TEXT(H6, "000")</f>
        <v>101000004</v>
      </c>
    </row>
    <row r="4" spans="1:14" x14ac:dyDescent="0.4">
      <c r="B4" s="2"/>
      <c r="C4" s="3"/>
      <c r="E4" s="9">
        <v>1</v>
      </c>
      <c r="F4" s="3" t="s">
        <v>14</v>
      </c>
      <c r="H4" s="9">
        <v>2</v>
      </c>
      <c r="I4" s="3" t="s">
        <v>20</v>
      </c>
    </row>
    <row r="5" spans="1:14" x14ac:dyDescent="0.4">
      <c r="B5" s="2"/>
      <c r="C5" s="3"/>
      <c r="E5" s="9">
        <v>2</v>
      </c>
      <c r="F5" s="3" t="s">
        <v>16</v>
      </c>
      <c r="H5" s="9">
        <v>3</v>
      </c>
      <c r="I5" s="3" t="s">
        <v>21</v>
      </c>
    </row>
    <row r="6" spans="1:14" ht="18" thickBot="1" x14ac:dyDescent="0.45">
      <c r="B6" s="4"/>
      <c r="C6" s="5"/>
      <c r="E6" s="10">
        <v>3</v>
      </c>
      <c r="F6" s="7" t="s">
        <v>17</v>
      </c>
      <c r="H6" s="11">
        <v>4</v>
      </c>
      <c r="I6" s="5" t="s">
        <v>22</v>
      </c>
    </row>
    <row r="7" spans="1:14" ht="18" thickBot="1" x14ac:dyDescent="0.45"/>
    <row r="8" spans="1:14" x14ac:dyDescent="0.4">
      <c r="A8" s="19" t="s">
        <v>25</v>
      </c>
      <c r="B8" s="22" t="s">
        <v>27</v>
      </c>
      <c r="C8" s="21" t="s">
        <v>43</v>
      </c>
    </row>
    <row r="9" spans="1:14" x14ac:dyDescent="0.4">
      <c r="A9" s="20" t="s">
        <v>26</v>
      </c>
      <c r="B9" s="23" t="s">
        <v>28</v>
      </c>
      <c r="C9" s="3" t="s">
        <v>42</v>
      </c>
    </row>
    <row r="10" spans="1:14" x14ac:dyDescent="0.4">
      <c r="A10" s="1" t="s">
        <v>38</v>
      </c>
      <c r="B10" s="23" t="s">
        <v>29</v>
      </c>
      <c r="C10" s="3" t="s">
        <v>41</v>
      </c>
    </row>
    <row r="11" spans="1:14" ht="18" thickBot="1" x14ac:dyDescent="0.45">
      <c r="B11" s="24" t="s">
        <v>30</v>
      </c>
      <c r="C11" s="5" t="s">
        <v>40</v>
      </c>
    </row>
    <row r="12" spans="1:14" ht="18" thickBot="1" x14ac:dyDescent="0.45">
      <c r="B12" s="6"/>
      <c r="C12" s="6"/>
    </row>
    <row r="13" spans="1:14" x14ac:dyDescent="0.4">
      <c r="A13" s="25" t="s">
        <v>31</v>
      </c>
      <c r="B13" s="22" t="s">
        <v>32</v>
      </c>
      <c r="C13" s="26" t="s">
        <v>35</v>
      </c>
    </row>
    <row r="14" spans="1:14" x14ac:dyDescent="0.4">
      <c r="A14" s="20" t="s">
        <v>26</v>
      </c>
      <c r="B14" s="23" t="s">
        <v>33</v>
      </c>
      <c r="C14" s="3" t="s">
        <v>36</v>
      </c>
    </row>
    <row r="15" spans="1:14" ht="18" thickBot="1" x14ac:dyDescent="0.45">
      <c r="A15" s="1" t="s">
        <v>39</v>
      </c>
      <c r="B15" s="24" t="s">
        <v>34</v>
      </c>
      <c r="C15" s="5" t="s">
        <v>37</v>
      </c>
    </row>
  </sheetData>
  <mergeCells count="4">
    <mergeCell ref="B2:C2"/>
    <mergeCell ref="E2:F2"/>
    <mergeCell ref="H2:I2"/>
    <mergeCell ref="K2:K3"/>
  </mergeCells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2</vt:i4>
      </vt:variant>
    </vt:vector>
  </HeadingPairs>
  <TitlesOfParts>
    <vt:vector size="2" baseType="lpstr">
      <vt:lpstr>ItemSheet</vt:lpstr>
      <vt:lpstr>규칙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lenovo</cp:lastModifiedBy>
  <dcterms:created xsi:type="dcterms:W3CDTF">2025-09-15T03:12:41Z</dcterms:created>
  <dcterms:modified xsi:type="dcterms:W3CDTF">2025-12-22T06:28:17Z</dcterms:modified>
</cp:coreProperties>
</file>